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NUSPS\MSDS_460\"/>
    </mc:Choice>
  </mc:AlternateContent>
  <xr:revisionPtr revIDLastSave="0" documentId="8_{FD58462E-E262-457E-9FA6-AADCF4E58025}" xr6:coauthVersionLast="47" xr6:coauthVersionMax="47" xr10:uidLastSave="{00000000-0000-0000-0000-000000000000}"/>
  <bookViews>
    <workbookView xWindow="-13950" yWindow="-16320" windowWidth="29040" windowHeight="15720" xr2:uid="{4B987FD3-3EF5-404E-8267-B8566D4EF96E}"/>
  </bookViews>
  <sheets>
    <sheet name="Main" sheetId="1" r:id="rId1"/>
    <sheet name="Main_HardCodedName" sheetId="4" r:id="rId2"/>
    <sheet name="CorbinBurnes" sheetId="3" r:id="rId3"/>
    <sheet name="CorbinBurnes_HardCodedNames" sheetId="5" r:id="rId4"/>
    <sheet name="data" sheetId="2" r:id="rId5"/>
  </sheets>
  <definedNames>
    <definedName name="_xlnm._FilterDatabase" localSheetId="2" hidden="1">CorbinBurnes!$A$15:$AF$188</definedName>
    <definedName name="_xlnm._FilterDatabase" localSheetId="4" hidden="1">data!$A$1:$U$283</definedName>
    <definedName name="_xlnm._FilterDatabase" localSheetId="0" hidden="1">Main!$A$15:$AF$209</definedName>
    <definedName name="solver_adj" localSheetId="2" hidden="1">CorbinBurnes!$A$16:$A$170</definedName>
    <definedName name="solver_adj" localSheetId="3" hidden="1">CorbinBurnes_HardCodedNames!$A$16:$A$59</definedName>
    <definedName name="solver_adj" localSheetId="0" hidden="1">Main!$A$16:$A$170</definedName>
    <definedName name="solver_adj" localSheetId="1" hidden="1">Main_HardCodedName!$A$16:$A$59</definedName>
    <definedName name="solver_cvg" localSheetId="2" hidden="1">0.0001</definedName>
    <definedName name="solver_cvg" localSheetId="3" hidden="1">0.0001</definedName>
    <definedName name="solver_cvg" localSheetId="0" hidden="1">0.0001</definedName>
    <definedName name="solver_cvg" localSheetId="1" hidden="1">0.0001</definedName>
    <definedName name="solver_drv" localSheetId="2" hidden="1">1</definedName>
    <definedName name="solver_drv" localSheetId="3" hidden="1">1</definedName>
    <definedName name="solver_drv" localSheetId="0" hidden="1">2</definedName>
    <definedName name="solver_drv" localSheetId="1" hidden="1">2</definedName>
    <definedName name="solver_eng" localSheetId="2" hidden="1">2</definedName>
    <definedName name="solver_eng" localSheetId="3" hidden="1">2</definedName>
    <definedName name="solver_eng" localSheetId="0" hidden="1">2</definedName>
    <definedName name="solver_eng" localSheetId="1" hidden="1">2</definedName>
    <definedName name="solver_est" localSheetId="2" hidden="1">1</definedName>
    <definedName name="solver_est" localSheetId="3" hidden="1">1</definedName>
    <definedName name="solver_est" localSheetId="0" hidden="1">1</definedName>
    <definedName name="solver_est" localSheetId="1" hidden="1">1</definedName>
    <definedName name="solver_itr" localSheetId="2" hidden="1">2147483647</definedName>
    <definedName name="solver_itr" localSheetId="3" hidden="1">2147483647</definedName>
    <definedName name="solver_itr" localSheetId="0" hidden="1">2147483647</definedName>
    <definedName name="solver_itr" localSheetId="1" hidden="1">2147483647</definedName>
    <definedName name="solver_lhs1" localSheetId="2" hidden="1">CorbinBurnes!$A$16:$A$170</definedName>
    <definedName name="solver_lhs1" localSheetId="3" hidden="1">CorbinBurnes_HardCodedNames!$A$16:$A$59</definedName>
    <definedName name="solver_lhs1" localSheetId="0" hidden="1">Main!$A$16:$A$170</definedName>
    <definedName name="solver_lhs1" localSheetId="1" hidden="1">Main_HardCodedName!$A$16:$A$59</definedName>
    <definedName name="solver_lhs2" localSheetId="2" hidden="1">CorbinBurnes!$C$1:$C$2</definedName>
    <definedName name="solver_lhs2" localSheetId="3" hidden="1">CorbinBurnes_HardCodedNames!$C$1:$C$2</definedName>
    <definedName name="solver_lhs2" localSheetId="0" hidden="1">Main!$C$1:$C$2</definedName>
    <definedName name="solver_lhs2" localSheetId="1" hidden="1">Main_HardCodedName!$C$1:$C$2</definedName>
    <definedName name="solver_lhs3" localSheetId="2" hidden="1">CorbinBurnes!$C$3:$C$11</definedName>
    <definedName name="solver_lhs3" localSheetId="3" hidden="1">CorbinBurnes_HardCodedNames!$C$3:$C$11</definedName>
    <definedName name="solver_lhs3" localSheetId="0" hidden="1">Main!$C$3:$C$10</definedName>
    <definedName name="solver_lhs3" localSheetId="1" hidden="1">Main_HardCodedName!$C$3:$C$10</definedName>
    <definedName name="solver_mip" localSheetId="2" hidden="1">2147483647</definedName>
    <definedName name="solver_mip" localSheetId="3" hidden="1">2147483647</definedName>
    <definedName name="solver_mip" localSheetId="0" hidden="1">2147483647</definedName>
    <definedName name="solver_mip" localSheetId="1" hidden="1">2147483647</definedName>
    <definedName name="solver_mni" localSheetId="2" hidden="1">30</definedName>
    <definedName name="solver_mni" localSheetId="3" hidden="1">30</definedName>
    <definedName name="solver_mni" localSheetId="0" hidden="1">30</definedName>
    <definedName name="solver_mni" localSheetId="1" hidden="1">30</definedName>
    <definedName name="solver_mrt" localSheetId="2" hidden="1">0.075</definedName>
    <definedName name="solver_mrt" localSheetId="3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3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3" hidden="1">1</definedName>
    <definedName name="solver_neg" localSheetId="0" hidden="1">1</definedName>
    <definedName name="solver_neg" localSheetId="1" hidden="1">1</definedName>
    <definedName name="solver_nod" localSheetId="2" hidden="1">2147483647</definedName>
    <definedName name="solver_nod" localSheetId="3" hidden="1">2147483647</definedName>
    <definedName name="solver_nod" localSheetId="0" hidden="1">2147483647</definedName>
    <definedName name="solver_nod" localSheetId="1" hidden="1">2147483647</definedName>
    <definedName name="solver_num" localSheetId="2" hidden="1">3</definedName>
    <definedName name="solver_num" localSheetId="3" hidden="1">3</definedName>
    <definedName name="solver_num" localSheetId="0" hidden="1">3</definedName>
    <definedName name="solver_num" localSheetId="1" hidden="1">3</definedName>
    <definedName name="solver_nwt" localSheetId="2" hidden="1">1</definedName>
    <definedName name="solver_nwt" localSheetId="3" hidden="1">1</definedName>
    <definedName name="solver_nwt" localSheetId="0" hidden="1">1</definedName>
    <definedName name="solver_nwt" localSheetId="1" hidden="1">1</definedName>
    <definedName name="solver_opt" localSheetId="2" hidden="1">CorbinBurnes!$C$12</definedName>
    <definedName name="solver_opt" localSheetId="3" hidden="1">CorbinBurnes_HardCodedNames!$C$12</definedName>
    <definedName name="solver_opt" localSheetId="0" hidden="1">Main!$C$12</definedName>
    <definedName name="solver_opt" localSheetId="1" hidden="1">Main_HardCodedName!$C$12</definedName>
    <definedName name="solver_pre" localSheetId="2" hidden="1">0.000001</definedName>
    <definedName name="solver_pre" localSheetId="3" hidden="1">0.000001</definedName>
    <definedName name="solver_pre" localSheetId="0" hidden="1">0.000001</definedName>
    <definedName name="solver_pre" localSheetId="1" hidden="1">0.000001</definedName>
    <definedName name="solver_rbv" localSheetId="2" hidden="1">1</definedName>
    <definedName name="solver_rbv" localSheetId="3" hidden="1">1</definedName>
    <definedName name="solver_rbv" localSheetId="0" hidden="1">2</definedName>
    <definedName name="solver_rbv" localSheetId="1" hidden="1">2</definedName>
    <definedName name="solver_rel1" localSheetId="2" hidden="1">5</definedName>
    <definedName name="solver_rel1" localSheetId="3" hidden="1">5</definedName>
    <definedName name="solver_rel1" localSheetId="0" hidden="1">5</definedName>
    <definedName name="solver_rel1" localSheetId="1" hidden="1">5</definedName>
    <definedName name="solver_rel2" localSheetId="2" hidden="1">1</definedName>
    <definedName name="solver_rel2" localSheetId="3" hidden="1">1</definedName>
    <definedName name="solver_rel2" localSheetId="0" hidden="1">1</definedName>
    <definedName name="solver_rel2" localSheetId="1" hidden="1">1</definedName>
    <definedName name="solver_rel3" localSheetId="2" hidden="1">2</definedName>
    <definedName name="solver_rel3" localSheetId="3" hidden="1">2</definedName>
    <definedName name="solver_rel3" localSheetId="0" hidden="1">2</definedName>
    <definedName name="solver_rel3" localSheetId="1" hidden="1">2</definedName>
    <definedName name="solver_rhs1" localSheetId="2" hidden="1">"binary"</definedName>
    <definedName name="solver_rhs1" localSheetId="3" hidden="1">"binary"</definedName>
    <definedName name="solver_rhs1" localSheetId="0" hidden="1">"binary"</definedName>
    <definedName name="solver_rhs1" localSheetId="1" hidden="1">"binary"</definedName>
    <definedName name="solver_rhs2" localSheetId="2" hidden="1">CorbinBurnes!$E$1:$E$2</definedName>
    <definedName name="solver_rhs2" localSheetId="3" hidden="1">CorbinBurnes_HardCodedNames!$E$1:$E$2</definedName>
    <definedName name="solver_rhs2" localSheetId="0" hidden="1">Main!$E$1:$E$2</definedName>
    <definedName name="solver_rhs2" localSheetId="1" hidden="1">Main_HardCodedName!$E$1:$E$2</definedName>
    <definedName name="solver_rhs3" localSheetId="2" hidden="1">CorbinBurnes!$E$3:$E$11</definedName>
    <definedName name="solver_rhs3" localSheetId="3" hidden="1">CorbinBurnes_HardCodedNames!$E$3:$E$11</definedName>
    <definedName name="solver_rhs3" localSheetId="0" hidden="1">Main!$E$3:$E$10</definedName>
    <definedName name="solver_rhs3" localSheetId="1" hidden="1">Main_HardCodedName!$E$3:$E$10</definedName>
    <definedName name="solver_rlx" localSheetId="2" hidden="1">2</definedName>
    <definedName name="solver_rlx" localSheetId="3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3" hidden="1">0</definedName>
    <definedName name="solver_rsd" localSheetId="0" hidden="1">0</definedName>
    <definedName name="solver_rsd" localSheetId="1" hidden="1">0</definedName>
    <definedName name="solver_scl" localSheetId="2" hidden="1">1</definedName>
    <definedName name="solver_scl" localSheetId="3" hidden="1">1</definedName>
    <definedName name="solver_scl" localSheetId="0" hidden="1">2</definedName>
    <definedName name="solver_scl" localSheetId="1" hidden="1">2</definedName>
    <definedName name="solver_sho" localSheetId="2" hidden="1">2</definedName>
    <definedName name="solver_sho" localSheetId="3" hidden="1">2</definedName>
    <definedName name="solver_sho" localSheetId="0" hidden="1">2</definedName>
    <definedName name="solver_sho" localSheetId="1" hidden="1">2</definedName>
    <definedName name="solver_ssz" localSheetId="2" hidden="1">100</definedName>
    <definedName name="solver_ssz" localSheetId="3" hidden="1">100</definedName>
    <definedName name="solver_ssz" localSheetId="0" hidden="1">100</definedName>
    <definedName name="solver_ssz" localSheetId="1" hidden="1">100</definedName>
    <definedName name="solver_tim" localSheetId="2" hidden="1">2147483647</definedName>
    <definedName name="solver_tim" localSheetId="3" hidden="1">2147483647</definedName>
    <definedName name="solver_tim" localSheetId="0" hidden="1">2147483647</definedName>
    <definedName name="solver_tim" localSheetId="1" hidden="1">2147483647</definedName>
    <definedName name="solver_tol" localSheetId="2" hidden="1">0.01</definedName>
    <definedName name="solver_tol" localSheetId="3" hidden="1">0.01</definedName>
    <definedName name="solver_tol" localSheetId="0" hidden="1">0.01</definedName>
    <definedName name="solver_tol" localSheetId="1" hidden="1">0.01</definedName>
    <definedName name="solver_typ" localSheetId="2" hidden="1">1</definedName>
    <definedName name="solver_typ" localSheetId="3" hidden="1">1</definedName>
    <definedName name="solver_typ" localSheetId="0" hidden="1">1</definedName>
    <definedName name="solver_typ" localSheetId="1" hidden="1">1</definedName>
    <definedName name="solver_val" localSheetId="2" hidden="1">0</definedName>
    <definedName name="solver_val" localSheetId="3" hidden="1">0</definedName>
    <definedName name="solver_val" localSheetId="0" hidden="1">0</definedName>
    <definedName name="solver_val" localSheetId="1" hidden="1">0</definedName>
    <definedName name="solver_ver" localSheetId="2" hidden="1">3</definedName>
    <definedName name="solver_ver" localSheetId="3" hidden="1">3</definedName>
    <definedName name="solver_ver" localSheetId="0" hidden="1">3</definedName>
    <definedName name="solver_ver" localSheetId="1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70" i="5" l="1"/>
  <c r="AE170" i="5"/>
  <c r="AD170" i="5"/>
  <c r="AC170" i="5" s="1"/>
  <c r="AB170" i="5"/>
  <c r="Z170" i="5"/>
  <c r="Y170" i="5"/>
  <c r="X170" i="5"/>
  <c r="W170" i="5"/>
  <c r="U170" i="5"/>
  <c r="T170" i="5"/>
  <c r="S170" i="5"/>
  <c r="AF169" i="5"/>
  <c r="AE169" i="5"/>
  <c r="AD169" i="5"/>
  <c r="AC169" i="5" s="1"/>
  <c r="Z169" i="5"/>
  <c r="Y169" i="5"/>
  <c r="X169" i="5"/>
  <c r="W169" i="5"/>
  <c r="U169" i="5"/>
  <c r="T169" i="5"/>
  <c r="S169" i="5"/>
  <c r="AF168" i="5"/>
  <c r="AE168" i="5"/>
  <c r="AD168" i="5"/>
  <c r="AC168" i="5" s="1"/>
  <c r="AB168" i="5"/>
  <c r="AA168" i="5"/>
  <c r="Z168" i="5"/>
  <c r="Y168" i="5"/>
  <c r="X168" i="5"/>
  <c r="W168" i="5"/>
  <c r="U168" i="5"/>
  <c r="T168" i="5"/>
  <c r="S168" i="5"/>
  <c r="AF167" i="5"/>
  <c r="AE167" i="5"/>
  <c r="AD167" i="5"/>
  <c r="AB167" i="5" s="1"/>
  <c r="AC167" i="5"/>
  <c r="AA167" i="5"/>
  <c r="Z167" i="5"/>
  <c r="Y167" i="5"/>
  <c r="X167" i="5"/>
  <c r="W167" i="5"/>
  <c r="U167" i="5"/>
  <c r="T167" i="5"/>
  <c r="S167" i="5"/>
  <c r="AF166" i="5"/>
  <c r="AE166" i="5"/>
  <c r="AD166" i="5"/>
  <c r="AB166" i="5" s="1"/>
  <c r="Z166" i="5"/>
  <c r="Y166" i="5"/>
  <c r="X166" i="5"/>
  <c r="W166" i="5"/>
  <c r="U166" i="5"/>
  <c r="T166" i="5"/>
  <c r="S166" i="5"/>
  <c r="AF165" i="5"/>
  <c r="AE165" i="5"/>
  <c r="AD165" i="5"/>
  <c r="AB165" i="5" s="1"/>
  <c r="AC165" i="5"/>
  <c r="AA165" i="5"/>
  <c r="Z165" i="5"/>
  <c r="Y165" i="5"/>
  <c r="X165" i="5"/>
  <c r="W165" i="5"/>
  <c r="U165" i="5"/>
  <c r="T165" i="5"/>
  <c r="S165" i="5"/>
  <c r="AF164" i="5"/>
  <c r="AE164" i="5"/>
  <c r="AD164" i="5"/>
  <c r="AC164" i="5" s="1"/>
  <c r="Z164" i="5"/>
  <c r="Y164" i="5"/>
  <c r="X164" i="5"/>
  <c r="W164" i="5"/>
  <c r="U164" i="5"/>
  <c r="T164" i="5"/>
  <c r="S164" i="5"/>
  <c r="AF163" i="5"/>
  <c r="AE163" i="5"/>
  <c r="AD163" i="5"/>
  <c r="AC163" i="5"/>
  <c r="AB163" i="5"/>
  <c r="AA163" i="5"/>
  <c r="Z163" i="5"/>
  <c r="Y163" i="5"/>
  <c r="X163" i="5"/>
  <c r="W163" i="5"/>
  <c r="U163" i="5"/>
  <c r="T163" i="5"/>
  <c r="S163" i="5"/>
  <c r="AF162" i="5"/>
  <c r="AE162" i="5"/>
  <c r="AD162" i="5"/>
  <c r="AC162" i="5" s="1"/>
  <c r="AB162" i="5"/>
  <c r="Z162" i="5"/>
  <c r="Y162" i="5"/>
  <c r="X162" i="5"/>
  <c r="W162" i="5"/>
  <c r="U162" i="5"/>
  <c r="T162" i="5"/>
  <c r="S162" i="5"/>
  <c r="AF161" i="5"/>
  <c r="AE161" i="5"/>
  <c r="AD161" i="5"/>
  <c r="AC161" i="5" s="1"/>
  <c r="Z161" i="5"/>
  <c r="Y161" i="5"/>
  <c r="X161" i="5"/>
  <c r="W161" i="5"/>
  <c r="U161" i="5"/>
  <c r="T161" i="5"/>
  <c r="S161" i="5"/>
  <c r="AF160" i="5"/>
  <c r="AE160" i="5"/>
  <c r="AD160" i="5"/>
  <c r="AC160" i="5" s="1"/>
  <c r="AB160" i="5"/>
  <c r="AA160" i="5"/>
  <c r="Z160" i="5"/>
  <c r="Y160" i="5"/>
  <c r="X160" i="5"/>
  <c r="W160" i="5"/>
  <c r="U160" i="5"/>
  <c r="T160" i="5"/>
  <c r="S160" i="5"/>
  <c r="AF159" i="5"/>
  <c r="AE159" i="5"/>
  <c r="AD159" i="5"/>
  <c r="AC159" i="5"/>
  <c r="AB159" i="5"/>
  <c r="AA159" i="5"/>
  <c r="Z159" i="5"/>
  <c r="Y159" i="5"/>
  <c r="X159" i="5"/>
  <c r="W159" i="5"/>
  <c r="U159" i="5"/>
  <c r="T159" i="5"/>
  <c r="S159" i="5"/>
  <c r="AF158" i="5"/>
  <c r="AE158" i="5"/>
  <c r="AD158" i="5"/>
  <c r="AB158" i="5" s="1"/>
  <c r="Z158" i="5"/>
  <c r="Y158" i="5"/>
  <c r="X158" i="5"/>
  <c r="W158" i="5"/>
  <c r="U158" i="5"/>
  <c r="T158" i="5"/>
  <c r="S158" i="5"/>
  <c r="AF157" i="5"/>
  <c r="AE157" i="5"/>
  <c r="AD157" i="5"/>
  <c r="AB157" i="5" s="1"/>
  <c r="AC157" i="5"/>
  <c r="AA157" i="5"/>
  <c r="Z157" i="5"/>
  <c r="Y157" i="5"/>
  <c r="X157" i="5"/>
  <c r="W157" i="5"/>
  <c r="U157" i="5"/>
  <c r="T157" i="5"/>
  <c r="S157" i="5"/>
  <c r="AF156" i="5"/>
  <c r="AE156" i="5"/>
  <c r="AD156" i="5"/>
  <c r="AC156" i="5" s="1"/>
  <c r="Z156" i="5"/>
  <c r="Y156" i="5"/>
  <c r="X156" i="5"/>
  <c r="W156" i="5"/>
  <c r="U156" i="5"/>
  <c r="T156" i="5"/>
  <c r="S156" i="5"/>
  <c r="AF155" i="5"/>
  <c r="AE155" i="5"/>
  <c r="AD155" i="5"/>
  <c r="AC155" i="5"/>
  <c r="AB155" i="5"/>
  <c r="AA155" i="5"/>
  <c r="Z155" i="5"/>
  <c r="Y155" i="5"/>
  <c r="X155" i="5"/>
  <c r="W155" i="5"/>
  <c r="U155" i="5"/>
  <c r="T155" i="5"/>
  <c r="S155" i="5"/>
  <c r="AF154" i="5"/>
  <c r="AE154" i="5"/>
  <c r="AD154" i="5"/>
  <c r="AC154" i="5" s="1"/>
  <c r="AB154" i="5"/>
  <c r="Z154" i="5"/>
  <c r="Y154" i="5"/>
  <c r="X154" i="5"/>
  <c r="W154" i="5"/>
  <c r="U154" i="5"/>
  <c r="T154" i="5"/>
  <c r="S154" i="5"/>
  <c r="AF153" i="5"/>
  <c r="AE153" i="5"/>
  <c r="AD153" i="5"/>
  <c r="AC153" i="5" s="1"/>
  <c r="Z153" i="5"/>
  <c r="Y153" i="5"/>
  <c r="X153" i="5"/>
  <c r="W153" i="5"/>
  <c r="U153" i="5"/>
  <c r="T153" i="5"/>
  <c r="S153" i="5"/>
  <c r="AF152" i="5"/>
  <c r="AE152" i="5"/>
  <c r="AD152" i="5"/>
  <c r="AC152" i="5" s="1"/>
  <c r="AB152" i="5"/>
  <c r="AA152" i="5"/>
  <c r="Z152" i="5"/>
  <c r="Y152" i="5"/>
  <c r="X152" i="5"/>
  <c r="W152" i="5"/>
  <c r="U152" i="5"/>
  <c r="T152" i="5"/>
  <c r="S152" i="5"/>
  <c r="AF151" i="5"/>
  <c r="AE151" i="5"/>
  <c r="AD151" i="5"/>
  <c r="AC151" i="5"/>
  <c r="AB151" i="5"/>
  <c r="AA151" i="5"/>
  <c r="Z151" i="5"/>
  <c r="Y151" i="5"/>
  <c r="X151" i="5"/>
  <c r="W151" i="5"/>
  <c r="U151" i="5"/>
  <c r="T151" i="5"/>
  <c r="S151" i="5"/>
  <c r="AF150" i="5"/>
  <c r="AE150" i="5"/>
  <c r="AD150" i="5"/>
  <c r="AB150" i="5" s="1"/>
  <c r="Z150" i="5"/>
  <c r="Y150" i="5"/>
  <c r="X150" i="5"/>
  <c r="W150" i="5"/>
  <c r="U150" i="5"/>
  <c r="T150" i="5"/>
  <c r="S150" i="5"/>
  <c r="AF149" i="5"/>
  <c r="AE149" i="5"/>
  <c r="AD149" i="5"/>
  <c r="AB149" i="5" s="1"/>
  <c r="AC149" i="5"/>
  <c r="AA149" i="5"/>
  <c r="Z149" i="5"/>
  <c r="Y149" i="5"/>
  <c r="X149" i="5"/>
  <c r="W149" i="5"/>
  <c r="U149" i="5"/>
  <c r="T149" i="5"/>
  <c r="S149" i="5"/>
  <c r="AF148" i="5"/>
  <c r="AE148" i="5"/>
  <c r="AD148" i="5"/>
  <c r="AC148" i="5" s="1"/>
  <c r="Z148" i="5"/>
  <c r="Y148" i="5"/>
  <c r="X148" i="5"/>
  <c r="W148" i="5"/>
  <c r="U148" i="5"/>
  <c r="T148" i="5"/>
  <c r="S148" i="5"/>
  <c r="AF147" i="5"/>
  <c r="AE147" i="5"/>
  <c r="AD147" i="5"/>
  <c r="AC147" i="5"/>
  <c r="AB147" i="5"/>
  <c r="AA147" i="5"/>
  <c r="Z147" i="5"/>
  <c r="Y147" i="5"/>
  <c r="X147" i="5"/>
  <c r="W147" i="5"/>
  <c r="U147" i="5"/>
  <c r="T147" i="5"/>
  <c r="S147" i="5"/>
  <c r="AF146" i="5"/>
  <c r="AE146" i="5"/>
  <c r="AD146" i="5"/>
  <c r="AC146" i="5" s="1"/>
  <c r="AB146" i="5"/>
  <c r="Z146" i="5"/>
  <c r="Y146" i="5"/>
  <c r="X146" i="5"/>
  <c r="W146" i="5"/>
  <c r="U146" i="5"/>
  <c r="T146" i="5"/>
  <c r="S146" i="5"/>
  <c r="AF145" i="5"/>
  <c r="AE145" i="5"/>
  <c r="AD145" i="5"/>
  <c r="AC145" i="5" s="1"/>
  <c r="Z145" i="5"/>
  <c r="Y145" i="5"/>
  <c r="X145" i="5"/>
  <c r="W145" i="5"/>
  <c r="U145" i="5"/>
  <c r="T145" i="5"/>
  <c r="S145" i="5"/>
  <c r="AF144" i="5"/>
  <c r="AE144" i="5"/>
  <c r="AD144" i="5"/>
  <c r="AC144" i="5" s="1"/>
  <c r="AB144" i="5"/>
  <c r="AA144" i="5"/>
  <c r="Z144" i="5"/>
  <c r="Y144" i="5"/>
  <c r="X144" i="5"/>
  <c r="W144" i="5"/>
  <c r="U144" i="5"/>
  <c r="T144" i="5"/>
  <c r="S144" i="5"/>
  <c r="AF143" i="5"/>
  <c r="AE143" i="5"/>
  <c r="AD143" i="5"/>
  <c r="AC143" i="5"/>
  <c r="AB143" i="5"/>
  <c r="AA143" i="5"/>
  <c r="Z143" i="5"/>
  <c r="Y143" i="5"/>
  <c r="X143" i="5"/>
  <c r="W143" i="5"/>
  <c r="U143" i="5"/>
  <c r="T143" i="5"/>
  <c r="S143" i="5"/>
  <c r="AF142" i="5"/>
  <c r="AE142" i="5"/>
  <c r="AD142" i="5"/>
  <c r="AB142" i="5" s="1"/>
  <c r="Z142" i="5"/>
  <c r="Y142" i="5"/>
  <c r="X142" i="5"/>
  <c r="W142" i="5"/>
  <c r="U142" i="5"/>
  <c r="T142" i="5"/>
  <c r="S142" i="5"/>
  <c r="AF141" i="5"/>
  <c r="AE141" i="5"/>
  <c r="AD141" i="5"/>
  <c r="AB141" i="5" s="1"/>
  <c r="AC141" i="5"/>
  <c r="AA141" i="5"/>
  <c r="Z141" i="5"/>
  <c r="Y141" i="5"/>
  <c r="X141" i="5"/>
  <c r="W141" i="5"/>
  <c r="U141" i="5"/>
  <c r="T141" i="5"/>
  <c r="S141" i="5"/>
  <c r="AF140" i="5"/>
  <c r="AE140" i="5"/>
  <c r="AD140" i="5"/>
  <c r="AC140" i="5" s="1"/>
  <c r="Z140" i="5"/>
  <c r="Y140" i="5"/>
  <c r="X140" i="5"/>
  <c r="W140" i="5"/>
  <c r="U140" i="5"/>
  <c r="T140" i="5"/>
  <c r="S140" i="5"/>
  <c r="AF139" i="5"/>
  <c r="AE139" i="5"/>
  <c r="AD139" i="5"/>
  <c r="AC139" i="5"/>
  <c r="AB139" i="5"/>
  <c r="AA139" i="5"/>
  <c r="Z139" i="5"/>
  <c r="Y139" i="5"/>
  <c r="X139" i="5"/>
  <c r="W139" i="5"/>
  <c r="U139" i="5"/>
  <c r="T139" i="5"/>
  <c r="S139" i="5"/>
  <c r="AF138" i="5"/>
  <c r="AE138" i="5"/>
  <c r="AD138" i="5"/>
  <c r="AC138" i="5" s="1"/>
  <c r="AB138" i="5"/>
  <c r="Z138" i="5"/>
  <c r="Y138" i="5"/>
  <c r="X138" i="5"/>
  <c r="W138" i="5"/>
  <c r="U138" i="5"/>
  <c r="T138" i="5"/>
  <c r="S138" i="5"/>
  <c r="AF137" i="5"/>
  <c r="AE137" i="5"/>
  <c r="AD137" i="5"/>
  <c r="AC137" i="5" s="1"/>
  <c r="Z137" i="5"/>
  <c r="Y137" i="5"/>
  <c r="X137" i="5"/>
  <c r="W137" i="5"/>
  <c r="U137" i="5"/>
  <c r="T137" i="5"/>
  <c r="S137" i="5"/>
  <c r="AF136" i="5"/>
  <c r="AE136" i="5"/>
  <c r="AD136" i="5"/>
  <c r="AC136" i="5" s="1"/>
  <c r="AB136" i="5"/>
  <c r="AA136" i="5"/>
  <c r="Z136" i="5"/>
  <c r="Y136" i="5"/>
  <c r="X136" i="5"/>
  <c r="W136" i="5"/>
  <c r="U136" i="5"/>
  <c r="T136" i="5"/>
  <c r="S136" i="5"/>
  <c r="AF135" i="5"/>
  <c r="AE135" i="5"/>
  <c r="AD135" i="5"/>
  <c r="AC135" i="5"/>
  <c r="AB135" i="5"/>
  <c r="AA135" i="5"/>
  <c r="Z135" i="5"/>
  <c r="Y135" i="5"/>
  <c r="X135" i="5"/>
  <c r="W135" i="5"/>
  <c r="U135" i="5"/>
  <c r="T135" i="5"/>
  <c r="S135" i="5"/>
  <c r="AF134" i="5"/>
  <c r="AE134" i="5"/>
  <c r="AD134" i="5"/>
  <c r="AB134" i="5" s="1"/>
  <c r="Z134" i="5"/>
  <c r="Y134" i="5"/>
  <c r="X134" i="5"/>
  <c r="W134" i="5"/>
  <c r="U134" i="5"/>
  <c r="T134" i="5"/>
  <c r="S134" i="5"/>
  <c r="AF133" i="5"/>
  <c r="AE133" i="5"/>
  <c r="AD133" i="5"/>
  <c r="AB133" i="5" s="1"/>
  <c r="AC133" i="5"/>
  <c r="AA133" i="5"/>
  <c r="Z133" i="5"/>
  <c r="Y133" i="5"/>
  <c r="X133" i="5"/>
  <c r="W133" i="5"/>
  <c r="U133" i="5"/>
  <c r="T133" i="5"/>
  <c r="S133" i="5"/>
  <c r="AF132" i="5"/>
  <c r="AE132" i="5"/>
  <c r="AD132" i="5"/>
  <c r="AC132" i="5" s="1"/>
  <c r="Z132" i="5"/>
  <c r="Y132" i="5"/>
  <c r="X132" i="5"/>
  <c r="W132" i="5"/>
  <c r="U132" i="5"/>
  <c r="T132" i="5"/>
  <c r="S132" i="5"/>
  <c r="AF131" i="5"/>
  <c r="AE131" i="5"/>
  <c r="AD131" i="5"/>
  <c r="AC131" i="5"/>
  <c r="AB131" i="5"/>
  <c r="AA131" i="5"/>
  <c r="Z131" i="5"/>
  <c r="Y131" i="5"/>
  <c r="X131" i="5"/>
  <c r="W131" i="5"/>
  <c r="U131" i="5"/>
  <c r="T131" i="5"/>
  <c r="S131" i="5"/>
  <c r="AF130" i="5"/>
  <c r="AE130" i="5"/>
  <c r="AD130" i="5"/>
  <c r="AC130" i="5" s="1"/>
  <c r="AB130" i="5"/>
  <c r="Z130" i="5"/>
  <c r="Y130" i="5"/>
  <c r="X130" i="5"/>
  <c r="W130" i="5"/>
  <c r="U130" i="5"/>
  <c r="T130" i="5"/>
  <c r="S130" i="5"/>
  <c r="AF129" i="5"/>
  <c r="AE129" i="5"/>
  <c r="AD129" i="5"/>
  <c r="AC129" i="5" s="1"/>
  <c r="Z129" i="5"/>
  <c r="Y129" i="5"/>
  <c r="X129" i="5"/>
  <c r="W129" i="5"/>
  <c r="U129" i="5"/>
  <c r="T129" i="5"/>
  <c r="S129" i="5"/>
  <c r="AF128" i="5"/>
  <c r="AE128" i="5"/>
  <c r="AD128" i="5"/>
  <c r="AC128" i="5" s="1"/>
  <c r="AB128" i="5"/>
  <c r="AA128" i="5"/>
  <c r="Z128" i="5"/>
  <c r="Y128" i="5"/>
  <c r="X128" i="5"/>
  <c r="W128" i="5"/>
  <c r="U128" i="5"/>
  <c r="T128" i="5"/>
  <c r="S128" i="5"/>
  <c r="AF127" i="5"/>
  <c r="AE127" i="5"/>
  <c r="AD127" i="5"/>
  <c r="AC127" i="5"/>
  <c r="AB127" i="5"/>
  <c r="AA127" i="5"/>
  <c r="Z127" i="5"/>
  <c r="Y127" i="5"/>
  <c r="X127" i="5"/>
  <c r="W127" i="5"/>
  <c r="U127" i="5"/>
  <c r="T127" i="5"/>
  <c r="S127" i="5"/>
  <c r="AF126" i="5"/>
  <c r="AE126" i="5"/>
  <c r="AD126" i="5"/>
  <c r="AB126" i="5" s="1"/>
  <c r="Z126" i="5"/>
  <c r="Y126" i="5"/>
  <c r="X126" i="5"/>
  <c r="W126" i="5"/>
  <c r="U126" i="5"/>
  <c r="T126" i="5"/>
  <c r="S126" i="5"/>
  <c r="AF125" i="5"/>
  <c r="AE125" i="5"/>
  <c r="AD125" i="5"/>
  <c r="AB125" i="5" s="1"/>
  <c r="AC125" i="5"/>
  <c r="AA125" i="5"/>
  <c r="Z125" i="5"/>
  <c r="Y125" i="5"/>
  <c r="X125" i="5"/>
  <c r="W125" i="5"/>
  <c r="U125" i="5"/>
  <c r="T125" i="5"/>
  <c r="S125" i="5"/>
  <c r="AF124" i="5"/>
  <c r="AE124" i="5"/>
  <c r="AD124" i="5"/>
  <c r="AC124" i="5" s="1"/>
  <c r="Z124" i="5"/>
  <c r="Y124" i="5"/>
  <c r="X124" i="5"/>
  <c r="W124" i="5"/>
  <c r="U124" i="5"/>
  <c r="T124" i="5"/>
  <c r="S124" i="5"/>
  <c r="AF123" i="5"/>
  <c r="AE123" i="5"/>
  <c r="AD123" i="5"/>
  <c r="AC123" i="5"/>
  <c r="AB123" i="5"/>
  <c r="AA123" i="5"/>
  <c r="Z123" i="5"/>
  <c r="Y123" i="5"/>
  <c r="X123" i="5"/>
  <c r="W123" i="5"/>
  <c r="U123" i="5"/>
  <c r="T123" i="5"/>
  <c r="S123" i="5"/>
  <c r="AF122" i="5"/>
  <c r="AE122" i="5"/>
  <c r="AD122" i="5"/>
  <c r="AA122" i="5" s="1"/>
  <c r="AC122" i="5"/>
  <c r="AB122" i="5"/>
  <c r="Z122" i="5"/>
  <c r="Y122" i="5"/>
  <c r="X122" i="5"/>
  <c r="W122" i="5"/>
  <c r="U122" i="5"/>
  <c r="T122" i="5"/>
  <c r="S122" i="5"/>
  <c r="AF121" i="5"/>
  <c r="AE121" i="5"/>
  <c r="AD121" i="5"/>
  <c r="AC121" i="5" s="1"/>
  <c r="Z121" i="5"/>
  <c r="Y121" i="5"/>
  <c r="X121" i="5"/>
  <c r="W121" i="5"/>
  <c r="U121" i="5"/>
  <c r="T121" i="5"/>
  <c r="S121" i="5"/>
  <c r="AF120" i="5"/>
  <c r="AE120" i="5"/>
  <c r="AD120" i="5"/>
  <c r="AC120" i="5" s="1"/>
  <c r="AB120" i="5"/>
  <c r="AA120" i="5"/>
  <c r="Z120" i="5"/>
  <c r="Y120" i="5"/>
  <c r="X120" i="5"/>
  <c r="W120" i="5"/>
  <c r="U120" i="5"/>
  <c r="T120" i="5"/>
  <c r="S120" i="5"/>
  <c r="AF119" i="5"/>
  <c r="AE119" i="5"/>
  <c r="AD119" i="5"/>
  <c r="AC119" i="5" s="1"/>
  <c r="AB119" i="5"/>
  <c r="AA119" i="5"/>
  <c r="Z119" i="5"/>
  <c r="Y119" i="5"/>
  <c r="X119" i="5"/>
  <c r="W119" i="5"/>
  <c r="U119" i="5"/>
  <c r="T119" i="5"/>
  <c r="S119" i="5"/>
  <c r="AF118" i="5"/>
  <c r="AE118" i="5"/>
  <c r="AD118" i="5"/>
  <c r="AB118" i="5" s="1"/>
  <c r="Z118" i="5"/>
  <c r="Y118" i="5"/>
  <c r="X118" i="5"/>
  <c r="W118" i="5"/>
  <c r="U118" i="5"/>
  <c r="T118" i="5"/>
  <c r="S118" i="5"/>
  <c r="AF117" i="5"/>
  <c r="AE117" i="5"/>
  <c r="AD117" i="5"/>
  <c r="AB117" i="5" s="1"/>
  <c r="AC117" i="5"/>
  <c r="AA117" i="5"/>
  <c r="Z117" i="5"/>
  <c r="Y117" i="5"/>
  <c r="X117" i="5"/>
  <c r="W117" i="5"/>
  <c r="U117" i="5"/>
  <c r="T117" i="5"/>
  <c r="S117" i="5"/>
  <c r="AF116" i="5"/>
  <c r="AE116" i="5"/>
  <c r="AD116" i="5"/>
  <c r="AC116" i="5" s="1"/>
  <c r="Z116" i="5"/>
  <c r="Y116" i="5"/>
  <c r="X116" i="5"/>
  <c r="W116" i="5"/>
  <c r="U116" i="5"/>
  <c r="T116" i="5"/>
  <c r="S116" i="5"/>
  <c r="AF115" i="5"/>
  <c r="AE115" i="5"/>
  <c r="AD115" i="5"/>
  <c r="AC115" i="5"/>
  <c r="AB115" i="5"/>
  <c r="AA115" i="5"/>
  <c r="Z115" i="5"/>
  <c r="Y115" i="5"/>
  <c r="X115" i="5"/>
  <c r="W115" i="5"/>
  <c r="U115" i="5"/>
  <c r="T115" i="5"/>
  <c r="S115" i="5"/>
  <c r="AF114" i="5"/>
  <c r="AE114" i="5"/>
  <c r="AD114" i="5"/>
  <c r="AC114" i="5"/>
  <c r="AB114" i="5"/>
  <c r="AA114" i="5"/>
  <c r="Z114" i="5"/>
  <c r="Y114" i="5"/>
  <c r="X114" i="5"/>
  <c r="W114" i="5"/>
  <c r="U114" i="5"/>
  <c r="T114" i="5"/>
  <c r="S114" i="5"/>
  <c r="AF113" i="5"/>
  <c r="AE113" i="5"/>
  <c r="AD113" i="5"/>
  <c r="AC113" i="5" s="1"/>
  <c r="Z113" i="5"/>
  <c r="Y113" i="5"/>
  <c r="X113" i="5"/>
  <c r="W113" i="5"/>
  <c r="U113" i="5"/>
  <c r="T113" i="5"/>
  <c r="S113" i="5"/>
  <c r="AF112" i="5"/>
  <c r="AE112" i="5"/>
  <c r="AD112" i="5"/>
  <c r="AC112" i="5" s="1"/>
  <c r="AB112" i="5"/>
  <c r="AA112" i="5"/>
  <c r="Z112" i="5"/>
  <c r="Y112" i="5"/>
  <c r="X112" i="5"/>
  <c r="W112" i="5"/>
  <c r="U112" i="5"/>
  <c r="T112" i="5"/>
  <c r="S112" i="5"/>
  <c r="AF111" i="5"/>
  <c r="AE111" i="5"/>
  <c r="AD111" i="5"/>
  <c r="AC111" i="5" s="1"/>
  <c r="AB111" i="5"/>
  <c r="AA111" i="5"/>
  <c r="Z111" i="5"/>
  <c r="Y111" i="5"/>
  <c r="X111" i="5"/>
  <c r="W111" i="5"/>
  <c r="U111" i="5"/>
  <c r="T111" i="5"/>
  <c r="S111" i="5"/>
  <c r="AF110" i="5"/>
  <c r="AE110" i="5"/>
  <c r="AD110" i="5"/>
  <c r="AB110" i="5" s="1"/>
  <c r="Z110" i="5"/>
  <c r="Y110" i="5"/>
  <c r="X110" i="5"/>
  <c r="W110" i="5"/>
  <c r="U110" i="5"/>
  <c r="T110" i="5"/>
  <c r="S110" i="5"/>
  <c r="AF109" i="5"/>
  <c r="AE109" i="5"/>
  <c r="AD109" i="5"/>
  <c r="AB109" i="5" s="1"/>
  <c r="AC109" i="5"/>
  <c r="AA109" i="5"/>
  <c r="Z109" i="5"/>
  <c r="Y109" i="5"/>
  <c r="X109" i="5"/>
  <c r="W109" i="5"/>
  <c r="U109" i="5"/>
  <c r="T109" i="5"/>
  <c r="S109" i="5"/>
  <c r="AF108" i="5"/>
  <c r="AE108" i="5"/>
  <c r="AD108" i="5"/>
  <c r="AC108" i="5" s="1"/>
  <c r="Z108" i="5"/>
  <c r="Y108" i="5"/>
  <c r="X108" i="5"/>
  <c r="W108" i="5"/>
  <c r="U108" i="5"/>
  <c r="T108" i="5"/>
  <c r="S108" i="5"/>
  <c r="AF107" i="5"/>
  <c r="AE107" i="5"/>
  <c r="AD107" i="5"/>
  <c r="AC107" i="5"/>
  <c r="AB107" i="5"/>
  <c r="AA107" i="5"/>
  <c r="Z107" i="5"/>
  <c r="Y107" i="5"/>
  <c r="X107" i="5"/>
  <c r="W107" i="5"/>
  <c r="U107" i="5"/>
  <c r="T107" i="5"/>
  <c r="S107" i="5"/>
  <c r="AF106" i="5"/>
  <c r="AE106" i="5"/>
  <c r="AD106" i="5"/>
  <c r="AC106" i="5"/>
  <c r="AB106" i="5"/>
  <c r="AA106" i="5"/>
  <c r="Z106" i="5"/>
  <c r="Y106" i="5"/>
  <c r="X106" i="5"/>
  <c r="W106" i="5"/>
  <c r="U106" i="5"/>
  <c r="T106" i="5"/>
  <c r="S106" i="5"/>
  <c r="AF105" i="5"/>
  <c r="AE105" i="5"/>
  <c r="AD105" i="5"/>
  <c r="AC105" i="5" s="1"/>
  <c r="Z105" i="5"/>
  <c r="Y105" i="5"/>
  <c r="X105" i="5"/>
  <c r="W105" i="5"/>
  <c r="U105" i="5"/>
  <c r="T105" i="5"/>
  <c r="S105" i="5"/>
  <c r="AF104" i="5"/>
  <c r="AE104" i="5"/>
  <c r="AD104" i="5"/>
  <c r="AC104" i="5" s="1"/>
  <c r="AB104" i="5"/>
  <c r="AA104" i="5"/>
  <c r="Z104" i="5"/>
  <c r="Y104" i="5"/>
  <c r="X104" i="5"/>
  <c r="W104" i="5"/>
  <c r="U104" i="5"/>
  <c r="T104" i="5"/>
  <c r="S104" i="5"/>
  <c r="AF103" i="5"/>
  <c r="AE103" i="5"/>
  <c r="AD103" i="5"/>
  <c r="AC103" i="5" s="1"/>
  <c r="AA103" i="5"/>
  <c r="Z103" i="5"/>
  <c r="Y103" i="5"/>
  <c r="X103" i="5"/>
  <c r="W103" i="5"/>
  <c r="U103" i="5"/>
  <c r="T103" i="5"/>
  <c r="S103" i="5"/>
  <c r="AF102" i="5"/>
  <c r="AE102" i="5"/>
  <c r="AD102" i="5"/>
  <c r="AB102" i="5" s="1"/>
  <c r="Z102" i="5"/>
  <c r="Y102" i="5"/>
  <c r="X102" i="5"/>
  <c r="W102" i="5"/>
  <c r="U102" i="5"/>
  <c r="T102" i="5"/>
  <c r="S102" i="5"/>
  <c r="AF101" i="5"/>
  <c r="AE101" i="5"/>
  <c r="AD101" i="5"/>
  <c r="AC101" i="5"/>
  <c r="AB101" i="5"/>
  <c r="AA101" i="5"/>
  <c r="Z101" i="5"/>
  <c r="Y101" i="5"/>
  <c r="X101" i="5"/>
  <c r="W101" i="5"/>
  <c r="U101" i="5"/>
  <c r="T101" i="5"/>
  <c r="S101" i="5"/>
  <c r="AF100" i="5"/>
  <c r="AE100" i="5"/>
  <c r="AD100" i="5"/>
  <c r="AC100" i="5" s="1"/>
  <c r="Z100" i="5"/>
  <c r="Y100" i="5"/>
  <c r="X100" i="5"/>
  <c r="W100" i="5"/>
  <c r="U100" i="5"/>
  <c r="T100" i="5"/>
  <c r="S100" i="5"/>
  <c r="AF99" i="5"/>
  <c r="AE99" i="5"/>
  <c r="AD99" i="5"/>
  <c r="AC99" i="5"/>
  <c r="AB99" i="5"/>
  <c r="AA99" i="5"/>
  <c r="Z99" i="5"/>
  <c r="Y99" i="5"/>
  <c r="X99" i="5"/>
  <c r="W99" i="5"/>
  <c r="U99" i="5"/>
  <c r="T99" i="5"/>
  <c r="S99" i="5"/>
  <c r="AF98" i="5"/>
  <c r="AE98" i="5"/>
  <c r="AD98" i="5"/>
  <c r="AC98" i="5"/>
  <c r="AB98" i="5"/>
  <c r="AA98" i="5"/>
  <c r="Z98" i="5"/>
  <c r="Y98" i="5"/>
  <c r="X98" i="5"/>
  <c r="W98" i="5"/>
  <c r="U98" i="5"/>
  <c r="T98" i="5"/>
  <c r="S98" i="5"/>
  <c r="AF97" i="5"/>
  <c r="AE97" i="5"/>
  <c r="AD97" i="5"/>
  <c r="AC97" i="5" s="1"/>
  <c r="Z97" i="5"/>
  <c r="Y97" i="5"/>
  <c r="X97" i="5"/>
  <c r="W97" i="5"/>
  <c r="U97" i="5"/>
  <c r="T97" i="5"/>
  <c r="S97" i="5"/>
  <c r="AF96" i="5"/>
  <c r="AE96" i="5"/>
  <c r="AD96" i="5"/>
  <c r="AC96" i="5" s="1"/>
  <c r="AB96" i="5"/>
  <c r="AA96" i="5"/>
  <c r="Z96" i="5"/>
  <c r="Y96" i="5"/>
  <c r="X96" i="5"/>
  <c r="W96" i="5"/>
  <c r="U96" i="5"/>
  <c r="T96" i="5"/>
  <c r="S96" i="5"/>
  <c r="AF95" i="5"/>
  <c r="AE95" i="5"/>
  <c r="AD95" i="5"/>
  <c r="AC95" i="5" s="1"/>
  <c r="AA95" i="5"/>
  <c r="Z95" i="5"/>
  <c r="Y95" i="5"/>
  <c r="X95" i="5"/>
  <c r="W95" i="5"/>
  <c r="U95" i="5"/>
  <c r="T95" i="5"/>
  <c r="S95" i="5"/>
  <c r="AF94" i="5"/>
  <c r="AE94" i="5"/>
  <c r="AD94" i="5"/>
  <c r="AB94" i="5" s="1"/>
  <c r="Z94" i="5"/>
  <c r="Y94" i="5"/>
  <c r="X94" i="5"/>
  <c r="W94" i="5"/>
  <c r="U94" i="5"/>
  <c r="T94" i="5"/>
  <c r="S94" i="5"/>
  <c r="AF93" i="5"/>
  <c r="AE93" i="5"/>
  <c r="AD93" i="5"/>
  <c r="AC93" i="5"/>
  <c r="AB93" i="5"/>
  <c r="AA93" i="5"/>
  <c r="Z93" i="5"/>
  <c r="Y93" i="5"/>
  <c r="X93" i="5"/>
  <c r="W93" i="5"/>
  <c r="U93" i="5"/>
  <c r="T93" i="5"/>
  <c r="S93" i="5"/>
  <c r="AF92" i="5"/>
  <c r="AE92" i="5"/>
  <c r="AD92" i="5"/>
  <c r="AC92" i="5" s="1"/>
  <c r="Z92" i="5"/>
  <c r="Y92" i="5"/>
  <c r="X92" i="5"/>
  <c r="W92" i="5"/>
  <c r="U92" i="5"/>
  <c r="T92" i="5"/>
  <c r="S92" i="5"/>
  <c r="AF91" i="5"/>
  <c r="AE91" i="5"/>
  <c r="AD91" i="5"/>
  <c r="AC91" i="5"/>
  <c r="AB91" i="5"/>
  <c r="AA91" i="5"/>
  <c r="Z91" i="5"/>
  <c r="Y91" i="5"/>
  <c r="X91" i="5"/>
  <c r="W91" i="5"/>
  <c r="U91" i="5"/>
  <c r="T91" i="5"/>
  <c r="S91" i="5"/>
  <c r="AF90" i="5"/>
  <c r="AE90" i="5"/>
  <c r="AD90" i="5"/>
  <c r="AC90" i="5"/>
  <c r="AB90" i="5"/>
  <c r="AA90" i="5"/>
  <c r="Z90" i="5"/>
  <c r="Y90" i="5"/>
  <c r="X90" i="5"/>
  <c r="W90" i="5"/>
  <c r="U90" i="5"/>
  <c r="T90" i="5"/>
  <c r="S90" i="5"/>
  <c r="AF89" i="5"/>
  <c r="AE89" i="5"/>
  <c r="AD89" i="5"/>
  <c r="AC89" i="5" s="1"/>
  <c r="Z89" i="5"/>
  <c r="Y89" i="5"/>
  <c r="X89" i="5"/>
  <c r="W89" i="5"/>
  <c r="U89" i="5"/>
  <c r="T89" i="5"/>
  <c r="S89" i="5"/>
  <c r="AF88" i="5"/>
  <c r="AE88" i="5"/>
  <c r="AD88" i="5"/>
  <c r="AC88" i="5" s="1"/>
  <c r="AB88" i="5"/>
  <c r="AA88" i="5"/>
  <c r="Z88" i="5"/>
  <c r="Y88" i="5"/>
  <c r="X88" i="5"/>
  <c r="W88" i="5"/>
  <c r="U88" i="5"/>
  <c r="T88" i="5"/>
  <c r="S88" i="5"/>
  <c r="AF87" i="5"/>
  <c r="AE87" i="5"/>
  <c r="AD87" i="5"/>
  <c r="AC87" i="5" s="1"/>
  <c r="AA87" i="5"/>
  <c r="Z87" i="5"/>
  <c r="Y87" i="5"/>
  <c r="X87" i="5"/>
  <c r="W87" i="5"/>
  <c r="U87" i="5"/>
  <c r="T87" i="5"/>
  <c r="S87" i="5"/>
  <c r="AF86" i="5"/>
  <c r="AE86" i="5"/>
  <c r="AD86" i="5"/>
  <c r="AB86" i="5" s="1"/>
  <c r="Z86" i="5"/>
  <c r="Y86" i="5"/>
  <c r="X86" i="5"/>
  <c r="W86" i="5"/>
  <c r="U86" i="5"/>
  <c r="T86" i="5"/>
  <c r="S86" i="5"/>
  <c r="AF85" i="5"/>
  <c r="AE85" i="5"/>
  <c r="AD85" i="5"/>
  <c r="AC85" i="5"/>
  <c r="AB85" i="5"/>
  <c r="AA85" i="5"/>
  <c r="Z85" i="5"/>
  <c r="Y85" i="5"/>
  <c r="X85" i="5"/>
  <c r="W85" i="5"/>
  <c r="U85" i="5"/>
  <c r="T85" i="5"/>
  <c r="S85" i="5"/>
  <c r="AF84" i="5"/>
  <c r="AE84" i="5"/>
  <c r="AD84" i="5"/>
  <c r="AC84" i="5" s="1"/>
  <c r="Z84" i="5"/>
  <c r="Y84" i="5"/>
  <c r="X84" i="5"/>
  <c r="W84" i="5"/>
  <c r="U84" i="5"/>
  <c r="T84" i="5"/>
  <c r="S84" i="5"/>
  <c r="AF83" i="5"/>
  <c r="AE83" i="5"/>
  <c r="AD83" i="5"/>
  <c r="AC83" i="5"/>
  <c r="AB83" i="5"/>
  <c r="AA83" i="5"/>
  <c r="Z83" i="5"/>
  <c r="Y83" i="5"/>
  <c r="X83" i="5"/>
  <c r="W83" i="5"/>
  <c r="U83" i="5"/>
  <c r="T83" i="5"/>
  <c r="S83" i="5"/>
  <c r="AF82" i="5"/>
  <c r="AE82" i="5"/>
  <c r="AD82" i="5"/>
  <c r="AC82" i="5"/>
  <c r="AB82" i="5"/>
  <c r="AA82" i="5"/>
  <c r="Z82" i="5"/>
  <c r="Y82" i="5"/>
  <c r="X82" i="5"/>
  <c r="W82" i="5"/>
  <c r="U82" i="5"/>
  <c r="T82" i="5"/>
  <c r="S82" i="5"/>
  <c r="AF81" i="5"/>
  <c r="AE81" i="5"/>
  <c r="AD81" i="5"/>
  <c r="AC81" i="5" s="1"/>
  <c r="Z81" i="5"/>
  <c r="Y81" i="5"/>
  <c r="X81" i="5"/>
  <c r="W81" i="5"/>
  <c r="U81" i="5"/>
  <c r="T81" i="5"/>
  <c r="S81" i="5"/>
  <c r="AF80" i="5"/>
  <c r="AE80" i="5"/>
  <c r="AD80" i="5"/>
  <c r="AC80" i="5" s="1"/>
  <c r="AB80" i="5"/>
  <c r="AA80" i="5"/>
  <c r="Z80" i="5"/>
  <c r="Y80" i="5"/>
  <c r="X80" i="5"/>
  <c r="W80" i="5"/>
  <c r="U80" i="5"/>
  <c r="T80" i="5"/>
  <c r="S80" i="5"/>
  <c r="AF79" i="5"/>
  <c r="AE79" i="5"/>
  <c r="AD79" i="5"/>
  <c r="AC79" i="5" s="1"/>
  <c r="AA79" i="5"/>
  <c r="Z79" i="5"/>
  <c r="Y79" i="5"/>
  <c r="X79" i="5"/>
  <c r="W79" i="5"/>
  <c r="U79" i="5"/>
  <c r="T79" i="5"/>
  <c r="S79" i="5"/>
  <c r="AF78" i="5"/>
  <c r="AE78" i="5"/>
  <c r="AD78" i="5"/>
  <c r="AB78" i="5" s="1"/>
  <c r="Z78" i="5"/>
  <c r="Y78" i="5"/>
  <c r="X78" i="5"/>
  <c r="W78" i="5"/>
  <c r="U78" i="5"/>
  <c r="T78" i="5"/>
  <c r="S78" i="5"/>
  <c r="AF77" i="5"/>
  <c r="AE77" i="5"/>
  <c r="AD77" i="5"/>
  <c r="AC77" i="5"/>
  <c r="AB77" i="5"/>
  <c r="AA77" i="5"/>
  <c r="Z77" i="5"/>
  <c r="Y77" i="5"/>
  <c r="X77" i="5"/>
  <c r="W77" i="5"/>
  <c r="U77" i="5"/>
  <c r="T77" i="5"/>
  <c r="S77" i="5"/>
  <c r="AF76" i="5"/>
  <c r="AE76" i="5"/>
  <c r="AD76" i="5"/>
  <c r="AC76" i="5" s="1"/>
  <c r="Z76" i="5"/>
  <c r="Y76" i="5"/>
  <c r="X76" i="5"/>
  <c r="W76" i="5"/>
  <c r="U76" i="5"/>
  <c r="T76" i="5"/>
  <c r="S76" i="5"/>
  <c r="AF75" i="5"/>
  <c r="AE75" i="5"/>
  <c r="AD75" i="5"/>
  <c r="AC75" i="5"/>
  <c r="AB75" i="5"/>
  <c r="AA75" i="5"/>
  <c r="Z75" i="5"/>
  <c r="Y75" i="5"/>
  <c r="X75" i="5"/>
  <c r="W75" i="5"/>
  <c r="U75" i="5"/>
  <c r="T75" i="5"/>
  <c r="S75" i="5"/>
  <c r="AF74" i="5"/>
  <c r="AE74" i="5"/>
  <c r="AD74" i="5"/>
  <c r="AC74" i="5"/>
  <c r="AB74" i="5"/>
  <c r="AA74" i="5"/>
  <c r="Z74" i="5"/>
  <c r="Y74" i="5"/>
  <c r="X74" i="5"/>
  <c r="W74" i="5"/>
  <c r="U74" i="5"/>
  <c r="T74" i="5"/>
  <c r="S74" i="5"/>
  <c r="AF73" i="5"/>
  <c r="AE73" i="5"/>
  <c r="AD73" i="5"/>
  <c r="AC73" i="5" s="1"/>
  <c r="Z73" i="5"/>
  <c r="Y73" i="5"/>
  <c r="X73" i="5"/>
  <c r="W73" i="5"/>
  <c r="U73" i="5"/>
  <c r="T73" i="5"/>
  <c r="S73" i="5"/>
  <c r="AF72" i="5"/>
  <c r="AE72" i="5"/>
  <c r="AD72" i="5"/>
  <c r="AC72" i="5" s="1"/>
  <c r="AB72" i="5"/>
  <c r="AA72" i="5"/>
  <c r="Z72" i="5"/>
  <c r="Y72" i="5"/>
  <c r="X72" i="5"/>
  <c r="W72" i="5"/>
  <c r="U72" i="5"/>
  <c r="T72" i="5"/>
  <c r="S72" i="5"/>
  <c r="AF71" i="5"/>
  <c r="AE71" i="5"/>
  <c r="AD71" i="5"/>
  <c r="AC71" i="5" s="1"/>
  <c r="AA71" i="5"/>
  <c r="Z71" i="5"/>
  <c r="Y71" i="5"/>
  <c r="X71" i="5"/>
  <c r="W71" i="5"/>
  <c r="U71" i="5"/>
  <c r="T71" i="5"/>
  <c r="S71" i="5"/>
  <c r="AF70" i="5"/>
  <c r="AE70" i="5"/>
  <c r="AD70" i="5"/>
  <c r="AB70" i="5" s="1"/>
  <c r="Z70" i="5"/>
  <c r="Y70" i="5"/>
  <c r="X70" i="5"/>
  <c r="W70" i="5"/>
  <c r="U70" i="5"/>
  <c r="T70" i="5"/>
  <c r="S70" i="5"/>
  <c r="AF69" i="5"/>
  <c r="AE69" i="5"/>
  <c r="AD69" i="5"/>
  <c r="AC69" i="5"/>
  <c r="AB69" i="5"/>
  <c r="AA69" i="5"/>
  <c r="Z69" i="5"/>
  <c r="Y69" i="5"/>
  <c r="X69" i="5"/>
  <c r="W69" i="5"/>
  <c r="U69" i="5"/>
  <c r="T69" i="5"/>
  <c r="S69" i="5"/>
  <c r="AF68" i="5"/>
  <c r="AE68" i="5"/>
  <c r="AD68" i="5"/>
  <c r="AC68" i="5" s="1"/>
  <c r="Z68" i="5"/>
  <c r="Y68" i="5"/>
  <c r="X68" i="5"/>
  <c r="W68" i="5"/>
  <c r="U68" i="5"/>
  <c r="T68" i="5"/>
  <c r="S68" i="5"/>
  <c r="AF67" i="5"/>
  <c r="AE67" i="5"/>
  <c r="AD67" i="5"/>
  <c r="AC67" i="5"/>
  <c r="AB67" i="5"/>
  <c r="AA67" i="5"/>
  <c r="Z67" i="5"/>
  <c r="Y67" i="5"/>
  <c r="X67" i="5"/>
  <c r="W67" i="5"/>
  <c r="U67" i="5"/>
  <c r="T67" i="5"/>
  <c r="S67" i="5"/>
  <c r="AF66" i="5"/>
  <c r="AE66" i="5"/>
  <c r="AD66" i="5"/>
  <c r="AC66" i="5"/>
  <c r="AB66" i="5"/>
  <c r="AA66" i="5"/>
  <c r="Z66" i="5"/>
  <c r="Y66" i="5"/>
  <c r="X66" i="5"/>
  <c r="W66" i="5"/>
  <c r="U66" i="5"/>
  <c r="T66" i="5"/>
  <c r="S66" i="5"/>
  <c r="AF65" i="5"/>
  <c r="AE65" i="5"/>
  <c r="AD65" i="5"/>
  <c r="AC65" i="5" s="1"/>
  <c r="Z65" i="5"/>
  <c r="Y65" i="5"/>
  <c r="X65" i="5"/>
  <c r="W65" i="5"/>
  <c r="U65" i="5"/>
  <c r="T65" i="5"/>
  <c r="S65" i="5"/>
  <c r="AF64" i="5"/>
  <c r="AE64" i="5"/>
  <c r="AD64" i="5"/>
  <c r="AC64" i="5" s="1"/>
  <c r="AB64" i="5"/>
  <c r="AA64" i="5"/>
  <c r="Z64" i="5"/>
  <c r="Y64" i="5"/>
  <c r="X64" i="5"/>
  <c r="W64" i="5"/>
  <c r="U64" i="5"/>
  <c r="T64" i="5"/>
  <c r="S64" i="5"/>
  <c r="AF63" i="5"/>
  <c r="AE63" i="5"/>
  <c r="AD63" i="5"/>
  <c r="AC63" i="5" s="1"/>
  <c r="AA63" i="5"/>
  <c r="Z63" i="5"/>
  <c r="Y63" i="5"/>
  <c r="X63" i="5"/>
  <c r="W63" i="5"/>
  <c r="U63" i="5"/>
  <c r="T63" i="5"/>
  <c r="S63" i="5"/>
  <c r="AF62" i="5"/>
  <c r="AE62" i="5"/>
  <c r="AD62" i="5"/>
  <c r="AB62" i="5" s="1"/>
  <c r="Z62" i="5"/>
  <c r="Y62" i="5"/>
  <c r="X62" i="5"/>
  <c r="W62" i="5"/>
  <c r="U62" i="5"/>
  <c r="T62" i="5"/>
  <c r="S62" i="5"/>
  <c r="AF61" i="5"/>
  <c r="AE61" i="5"/>
  <c r="AD61" i="5"/>
  <c r="AC61" i="5"/>
  <c r="AB61" i="5"/>
  <c r="AA61" i="5"/>
  <c r="Z61" i="5"/>
  <c r="Y61" i="5"/>
  <c r="X61" i="5"/>
  <c r="W61" i="5"/>
  <c r="U61" i="5"/>
  <c r="T61" i="5"/>
  <c r="S61" i="5"/>
  <c r="AF60" i="5"/>
  <c r="AE60" i="5"/>
  <c r="AD60" i="5"/>
  <c r="AC60" i="5" s="1"/>
  <c r="Z60" i="5"/>
  <c r="Y60" i="5"/>
  <c r="X60" i="5"/>
  <c r="W60" i="5"/>
  <c r="U60" i="5"/>
  <c r="T60" i="5"/>
  <c r="S60" i="5"/>
  <c r="AF59" i="5"/>
  <c r="AE59" i="5"/>
  <c r="AD59" i="5"/>
  <c r="AC59" i="5"/>
  <c r="AB59" i="5"/>
  <c r="AA59" i="5"/>
  <c r="Z59" i="5"/>
  <c r="Y59" i="5"/>
  <c r="X59" i="5"/>
  <c r="W59" i="5"/>
  <c r="U59" i="5"/>
  <c r="T59" i="5"/>
  <c r="S59" i="5"/>
  <c r="AF58" i="5"/>
  <c r="AE58" i="5"/>
  <c r="AD58" i="5"/>
  <c r="AC58" i="5"/>
  <c r="AB58" i="5"/>
  <c r="AA58" i="5"/>
  <c r="Z58" i="5"/>
  <c r="Y58" i="5"/>
  <c r="X58" i="5"/>
  <c r="W58" i="5"/>
  <c r="U58" i="5"/>
  <c r="T58" i="5"/>
  <c r="S58" i="5"/>
  <c r="AF57" i="5"/>
  <c r="AE57" i="5"/>
  <c r="AD57" i="5"/>
  <c r="AC57" i="5" s="1"/>
  <c r="Z57" i="5"/>
  <c r="Y57" i="5"/>
  <c r="X57" i="5"/>
  <c r="W57" i="5"/>
  <c r="U57" i="5"/>
  <c r="T57" i="5"/>
  <c r="S57" i="5"/>
  <c r="AF56" i="5"/>
  <c r="AE56" i="5"/>
  <c r="AD56" i="5"/>
  <c r="AC56" i="5" s="1"/>
  <c r="AB56" i="5"/>
  <c r="AA56" i="5"/>
  <c r="Z56" i="5"/>
  <c r="Y56" i="5"/>
  <c r="X56" i="5"/>
  <c r="W56" i="5"/>
  <c r="U56" i="5"/>
  <c r="T56" i="5"/>
  <c r="S56" i="5"/>
  <c r="AF55" i="5"/>
  <c r="AE55" i="5"/>
  <c r="AD55" i="5"/>
  <c r="AC55" i="5" s="1"/>
  <c r="AA55" i="5"/>
  <c r="Z55" i="5"/>
  <c r="Y55" i="5"/>
  <c r="X55" i="5"/>
  <c r="W55" i="5"/>
  <c r="U55" i="5"/>
  <c r="T55" i="5"/>
  <c r="S55" i="5"/>
  <c r="AF54" i="5"/>
  <c r="AE54" i="5"/>
  <c r="AD54" i="5"/>
  <c r="AB54" i="5" s="1"/>
  <c r="Z54" i="5"/>
  <c r="Y54" i="5"/>
  <c r="X54" i="5"/>
  <c r="W54" i="5"/>
  <c r="U54" i="5"/>
  <c r="T54" i="5"/>
  <c r="S54" i="5"/>
  <c r="AF53" i="5"/>
  <c r="AE53" i="5"/>
  <c r="AD53" i="5"/>
  <c r="AC53" i="5"/>
  <c r="AB53" i="5"/>
  <c r="AA53" i="5"/>
  <c r="Z53" i="5"/>
  <c r="Y53" i="5"/>
  <c r="X53" i="5"/>
  <c r="W53" i="5"/>
  <c r="U53" i="5"/>
  <c r="T53" i="5"/>
  <c r="S53" i="5"/>
  <c r="AF52" i="5"/>
  <c r="AE52" i="5"/>
  <c r="AD52" i="5"/>
  <c r="AC52" i="5" s="1"/>
  <c r="Z52" i="5"/>
  <c r="Y52" i="5"/>
  <c r="X52" i="5"/>
  <c r="W52" i="5"/>
  <c r="U52" i="5"/>
  <c r="T52" i="5"/>
  <c r="S52" i="5"/>
  <c r="AF51" i="5"/>
  <c r="AE51" i="5"/>
  <c r="AD51" i="5"/>
  <c r="AC51" i="5"/>
  <c r="AB51" i="5"/>
  <c r="AA51" i="5"/>
  <c r="Z51" i="5"/>
  <c r="Y51" i="5"/>
  <c r="X51" i="5"/>
  <c r="W51" i="5"/>
  <c r="U51" i="5"/>
  <c r="T51" i="5"/>
  <c r="S51" i="5"/>
  <c r="AF50" i="5"/>
  <c r="AE50" i="5"/>
  <c r="AD50" i="5"/>
  <c r="AC50" i="5"/>
  <c r="AB50" i="5"/>
  <c r="AA50" i="5"/>
  <c r="Z50" i="5"/>
  <c r="Y50" i="5"/>
  <c r="X50" i="5"/>
  <c r="W50" i="5"/>
  <c r="U50" i="5"/>
  <c r="T50" i="5"/>
  <c r="S50" i="5"/>
  <c r="AF49" i="5"/>
  <c r="AE49" i="5"/>
  <c r="AD49" i="5"/>
  <c r="AC49" i="5" s="1"/>
  <c r="Z49" i="5"/>
  <c r="Y49" i="5"/>
  <c r="X49" i="5"/>
  <c r="W49" i="5"/>
  <c r="U49" i="5"/>
  <c r="T49" i="5"/>
  <c r="S49" i="5"/>
  <c r="AF48" i="5"/>
  <c r="AE48" i="5"/>
  <c r="AD48" i="5"/>
  <c r="AC48" i="5" s="1"/>
  <c r="AB48" i="5"/>
  <c r="AA48" i="5"/>
  <c r="Z48" i="5"/>
  <c r="Y48" i="5"/>
  <c r="X48" i="5"/>
  <c r="W48" i="5"/>
  <c r="U48" i="5"/>
  <c r="T48" i="5"/>
  <c r="S48" i="5"/>
  <c r="AF47" i="5"/>
  <c r="AE47" i="5"/>
  <c r="AD47" i="5"/>
  <c r="AC47" i="5" s="1"/>
  <c r="AA47" i="5"/>
  <c r="Z47" i="5"/>
  <c r="Y47" i="5"/>
  <c r="X47" i="5"/>
  <c r="W47" i="5"/>
  <c r="U47" i="5"/>
  <c r="T47" i="5"/>
  <c r="S47" i="5"/>
  <c r="AF46" i="5"/>
  <c r="AE46" i="5"/>
  <c r="AD46" i="5"/>
  <c r="AB46" i="5" s="1"/>
  <c r="Z46" i="5"/>
  <c r="Y46" i="5"/>
  <c r="X46" i="5"/>
  <c r="W46" i="5"/>
  <c r="U46" i="5"/>
  <c r="T46" i="5"/>
  <c r="S46" i="5"/>
  <c r="AF45" i="5"/>
  <c r="AE45" i="5"/>
  <c r="AD45" i="5"/>
  <c r="AC45" i="5"/>
  <c r="AB45" i="5"/>
  <c r="AA45" i="5"/>
  <c r="Z45" i="5"/>
  <c r="Y45" i="5"/>
  <c r="X45" i="5"/>
  <c r="W45" i="5"/>
  <c r="U45" i="5"/>
  <c r="T45" i="5"/>
  <c r="S45" i="5"/>
  <c r="AF44" i="5"/>
  <c r="AE44" i="5"/>
  <c r="AD44" i="5"/>
  <c r="AC44" i="5" s="1"/>
  <c r="Z44" i="5"/>
  <c r="Y44" i="5"/>
  <c r="X44" i="5"/>
  <c r="W44" i="5"/>
  <c r="U44" i="5"/>
  <c r="T44" i="5"/>
  <c r="S44" i="5"/>
  <c r="AF43" i="5"/>
  <c r="AE43" i="5"/>
  <c r="AD43" i="5"/>
  <c r="AC43" i="5"/>
  <c r="AB43" i="5"/>
  <c r="AA43" i="5"/>
  <c r="Z43" i="5"/>
  <c r="Y43" i="5"/>
  <c r="X43" i="5"/>
  <c r="W43" i="5"/>
  <c r="U43" i="5"/>
  <c r="T43" i="5"/>
  <c r="S43" i="5"/>
  <c r="AF42" i="5"/>
  <c r="AE42" i="5"/>
  <c r="AD42" i="5"/>
  <c r="AC42" i="5"/>
  <c r="AB42" i="5"/>
  <c r="AA42" i="5"/>
  <c r="Z42" i="5"/>
  <c r="Y42" i="5"/>
  <c r="X42" i="5"/>
  <c r="W42" i="5"/>
  <c r="U42" i="5"/>
  <c r="T42" i="5"/>
  <c r="S42" i="5"/>
  <c r="AF41" i="5"/>
  <c r="AE41" i="5"/>
  <c r="AD41" i="5"/>
  <c r="AC41" i="5" s="1"/>
  <c r="Z41" i="5"/>
  <c r="Y41" i="5"/>
  <c r="X41" i="5"/>
  <c r="W41" i="5"/>
  <c r="U41" i="5"/>
  <c r="T41" i="5"/>
  <c r="S41" i="5"/>
  <c r="AF40" i="5"/>
  <c r="AE40" i="5"/>
  <c r="AD40" i="5"/>
  <c r="AC40" i="5" s="1"/>
  <c r="AB40" i="5"/>
  <c r="AA40" i="5"/>
  <c r="Z40" i="5"/>
  <c r="Y40" i="5"/>
  <c r="X40" i="5"/>
  <c r="W40" i="5"/>
  <c r="U40" i="5"/>
  <c r="T40" i="5"/>
  <c r="S40" i="5"/>
  <c r="AF39" i="5"/>
  <c r="AE39" i="5"/>
  <c r="AD39" i="5"/>
  <c r="AC39" i="5" s="1"/>
  <c r="AB39" i="5"/>
  <c r="AA39" i="5"/>
  <c r="Z39" i="5"/>
  <c r="Y39" i="5"/>
  <c r="X39" i="5"/>
  <c r="W39" i="5"/>
  <c r="U39" i="5"/>
  <c r="T39" i="5"/>
  <c r="S39" i="5"/>
  <c r="AF38" i="5"/>
  <c r="AE38" i="5"/>
  <c r="AD38" i="5"/>
  <c r="AB38" i="5" s="1"/>
  <c r="Z38" i="5"/>
  <c r="Y38" i="5"/>
  <c r="X38" i="5"/>
  <c r="W38" i="5"/>
  <c r="U38" i="5"/>
  <c r="T38" i="5"/>
  <c r="S38" i="5"/>
  <c r="AF37" i="5"/>
  <c r="AE37" i="5"/>
  <c r="AD37" i="5"/>
  <c r="AC37" i="5"/>
  <c r="AB37" i="5"/>
  <c r="AA37" i="5"/>
  <c r="Z37" i="5"/>
  <c r="Y37" i="5"/>
  <c r="X37" i="5"/>
  <c r="W37" i="5"/>
  <c r="U37" i="5"/>
  <c r="T37" i="5"/>
  <c r="S37" i="5"/>
  <c r="AF36" i="5"/>
  <c r="AE36" i="5"/>
  <c r="AD36" i="5"/>
  <c r="AC36" i="5" s="1"/>
  <c r="Z36" i="5"/>
  <c r="Y36" i="5"/>
  <c r="X36" i="5"/>
  <c r="W36" i="5"/>
  <c r="U36" i="5"/>
  <c r="T36" i="5"/>
  <c r="S36" i="5"/>
  <c r="AF35" i="5"/>
  <c r="AE35" i="5"/>
  <c r="AD35" i="5"/>
  <c r="AC35" i="5"/>
  <c r="AB35" i="5"/>
  <c r="AA35" i="5"/>
  <c r="Z35" i="5"/>
  <c r="Y35" i="5"/>
  <c r="X35" i="5"/>
  <c r="W35" i="5"/>
  <c r="U35" i="5"/>
  <c r="T35" i="5"/>
  <c r="S35" i="5"/>
  <c r="AF34" i="5"/>
  <c r="AE34" i="5"/>
  <c r="AD34" i="5"/>
  <c r="AC34" i="5"/>
  <c r="AB34" i="5"/>
  <c r="AA34" i="5"/>
  <c r="Z34" i="5"/>
  <c r="Y34" i="5"/>
  <c r="X34" i="5"/>
  <c r="W34" i="5"/>
  <c r="U34" i="5"/>
  <c r="T34" i="5"/>
  <c r="S34" i="5"/>
  <c r="AF33" i="5"/>
  <c r="AE33" i="5"/>
  <c r="AD33" i="5"/>
  <c r="AC33" i="5" s="1"/>
  <c r="Z33" i="5"/>
  <c r="Y33" i="5"/>
  <c r="X33" i="5"/>
  <c r="W33" i="5"/>
  <c r="U33" i="5"/>
  <c r="T33" i="5"/>
  <c r="S33" i="5"/>
  <c r="AF32" i="5"/>
  <c r="AE32" i="5"/>
  <c r="AD32" i="5"/>
  <c r="AC32" i="5" s="1"/>
  <c r="AB32" i="5"/>
  <c r="AA32" i="5"/>
  <c r="Z32" i="5"/>
  <c r="Y32" i="5"/>
  <c r="X32" i="5"/>
  <c r="W32" i="5"/>
  <c r="U32" i="5"/>
  <c r="T32" i="5"/>
  <c r="S32" i="5"/>
  <c r="AF31" i="5"/>
  <c r="AE31" i="5"/>
  <c r="AD31" i="5"/>
  <c r="AC31" i="5" s="1"/>
  <c r="AB31" i="5"/>
  <c r="AA31" i="5"/>
  <c r="Z31" i="5"/>
  <c r="Y31" i="5"/>
  <c r="X31" i="5"/>
  <c r="W31" i="5"/>
  <c r="U31" i="5"/>
  <c r="T31" i="5"/>
  <c r="S31" i="5"/>
  <c r="AF30" i="5"/>
  <c r="AE30" i="5"/>
  <c r="AD30" i="5"/>
  <c r="AB30" i="5" s="1"/>
  <c r="Z30" i="5"/>
  <c r="Y30" i="5"/>
  <c r="X30" i="5"/>
  <c r="W30" i="5"/>
  <c r="U30" i="5"/>
  <c r="C5" i="5" s="1"/>
  <c r="T30" i="5"/>
  <c r="S30" i="5"/>
  <c r="AF29" i="5"/>
  <c r="AE29" i="5"/>
  <c r="AD29" i="5"/>
  <c r="AC29" i="5"/>
  <c r="AB29" i="5"/>
  <c r="AA29" i="5"/>
  <c r="Z29" i="5"/>
  <c r="Y29" i="5"/>
  <c r="X29" i="5"/>
  <c r="W29" i="5"/>
  <c r="U29" i="5"/>
  <c r="T29" i="5"/>
  <c r="S29" i="5"/>
  <c r="AF28" i="5"/>
  <c r="AE28" i="5"/>
  <c r="AD28" i="5"/>
  <c r="AC28" i="5" s="1"/>
  <c r="Z28" i="5"/>
  <c r="Y28" i="5"/>
  <c r="X28" i="5"/>
  <c r="W28" i="5"/>
  <c r="U28" i="5"/>
  <c r="T28" i="5"/>
  <c r="S28" i="5"/>
  <c r="AF27" i="5"/>
  <c r="AE27" i="5"/>
  <c r="AD27" i="5"/>
  <c r="AC27" i="5"/>
  <c r="AB27" i="5"/>
  <c r="AA27" i="5"/>
  <c r="Z27" i="5"/>
  <c r="Y27" i="5"/>
  <c r="X27" i="5"/>
  <c r="W27" i="5"/>
  <c r="U27" i="5"/>
  <c r="T27" i="5"/>
  <c r="C3" i="5" s="1"/>
  <c r="S27" i="5"/>
  <c r="AF26" i="5"/>
  <c r="AE26" i="5"/>
  <c r="AD26" i="5"/>
  <c r="AC26" i="5"/>
  <c r="AB26" i="5"/>
  <c r="AA26" i="5"/>
  <c r="Z26" i="5"/>
  <c r="Y26" i="5"/>
  <c r="X26" i="5"/>
  <c r="W26" i="5"/>
  <c r="U26" i="5"/>
  <c r="T26" i="5"/>
  <c r="S26" i="5"/>
  <c r="AF25" i="5"/>
  <c r="AE25" i="5"/>
  <c r="AD25" i="5"/>
  <c r="AC25" i="5" s="1"/>
  <c r="Z25" i="5"/>
  <c r="Y25" i="5"/>
  <c r="X25" i="5"/>
  <c r="W25" i="5"/>
  <c r="U25" i="5"/>
  <c r="T25" i="5"/>
  <c r="S25" i="5"/>
  <c r="AF24" i="5"/>
  <c r="AE24" i="5"/>
  <c r="AD24" i="5"/>
  <c r="AC24" i="5" s="1"/>
  <c r="AB24" i="5"/>
  <c r="AA24" i="5"/>
  <c r="Z24" i="5"/>
  <c r="Y24" i="5"/>
  <c r="X24" i="5"/>
  <c r="W24" i="5"/>
  <c r="U24" i="5"/>
  <c r="T24" i="5"/>
  <c r="S24" i="5"/>
  <c r="AF23" i="5"/>
  <c r="AE23" i="5"/>
  <c r="AD23" i="5"/>
  <c r="AC23" i="5" s="1"/>
  <c r="AB23" i="5"/>
  <c r="AA23" i="5"/>
  <c r="Z23" i="5"/>
  <c r="Y23" i="5"/>
  <c r="X23" i="5"/>
  <c r="W23" i="5"/>
  <c r="U23" i="5"/>
  <c r="T23" i="5"/>
  <c r="S23" i="5"/>
  <c r="AF22" i="5"/>
  <c r="AF21" i="5"/>
  <c r="AF20" i="5"/>
  <c r="C1" i="5" s="1"/>
  <c r="AF19" i="5"/>
  <c r="AF18" i="5"/>
  <c r="AF17" i="5"/>
  <c r="AF16" i="5"/>
  <c r="C12" i="5"/>
  <c r="C11" i="5"/>
  <c r="C10" i="5"/>
  <c r="C7" i="5"/>
  <c r="AF170" i="4"/>
  <c r="AE170" i="4"/>
  <c r="AD170" i="4"/>
  <c r="AB170" i="4" s="1"/>
  <c r="AC170" i="4"/>
  <c r="Z170" i="4"/>
  <c r="Y170" i="4"/>
  <c r="X170" i="4"/>
  <c r="W170" i="4"/>
  <c r="U170" i="4"/>
  <c r="T170" i="4"/>
  <c r="S170" i="4"/>
  <c r="AF169" i="4"/>
  <c r="AE169" i="4"/>
  <c r="AD169" i="4"/>
  <c r="AB169" i="4" s="1"/>
  <c r="AC169" i="4"/>
  <c r="Z169" i="4"/>
  <c r="Y169" i="4"/>
  <c r="X169" i="4"/>
  <c r="W169" i="4"/>
  <c r="U169" i="4"/>
  <c r="T169" i="4"/>
  <c r="S169" i="4"/>
  <c r="AF168" i="4"/>
  <c r="AE168" i="4"/>
  <c r="AD168" i="4"/>
  <c r="AC168" i="4" s="1"/>
  <c r="AB168" i="4"/>
  <c r="AA168" i="4"/>
  <c r="Z168" i="4"/>
  <c r="Y168" i="4"/>
  <c r="X168" i="4"/>
  <c r="W168" i="4"/>
  <c r="U168" i="4"/>
  <c r="T168" i="4"/>
  <c r="S168" i="4"/>
  <c r="AF167" i="4"/>
  <c r="AE167" i="4"/>
  <c r="AD167" i="4"/>
  <c r="AC167" i="4"/>
  <c r="AB167" i="4"/>
  <c r="AA167" i="4"/>
  <c r="Z167" i="4"/>
  <c r="Y167" i="4"/>
  <c r="X167" i="4"/>
  <c r="W167" i="4"/>
  <c r="U167" i="4"/>
  <c r="T167" i="4"/>
  <c r="S167" i="4"/>
  <c r="AF166" i="4"/>
  <c r="AE166" i="4"/>
  <c r="AD166" i="4"/>
  <c r="AB166" i="4" s="1"/>
  <c r="Z166" i="4"/>
  <c r="Y166" i="4"/>
  <c r="X166" i="4"/>
  <c r="W166" i="4"/>
  <c r="U166" i="4"/>
  <c r="T166" i="4"/>
  <c r="S166" i="4"/>
  <c r="AF165" i="4"/>
  <c r="AE165" i="4"/>
  <c r="AD165" i="4"/>
  <c r="AC165" i="4" s="1"/>
  <c r="AA165" i="4"/>
  <c r="Z165" i="4"/>
  <c r="Y165" i="4"/>
  <c r="X165" i="4"/>
  <c r="W165" i="4"/>
  <c r="U165" i="4"/>
  <c r="T165" i="4"/>
  <c r="S165" i="4"/>
  <c r="AF164" i="4"/>
  <c r="AE164" i="4"/>
  <c r="AD164" i="4"/>
  <c r="AC164" i="4" s="1"/>
  <c r="Z164" i="4"/>
  <c r="Y164" i="4"/>
  <c r="X164" i="4"/>
  <c r="W164" i="4"/>
  <c r="U164" i="4"/>
  <c r="T164" i="4"/>
  <c r="S164" i="4"/>
  <c r="AF163" i="4"/>
  <c r="AE163" i="4"/>
  <c r="AD163" i="4"/>
  <c r="AC163" i="4"/>
  <c r="AB163" i="4"/>
  <c r="AA163" i="4"/>
  <c r="Z163" i="4"/>
  <c r="Y163" i="4"/>
  <c r="X163" i="4"/>
  <c r="W163" i="4"/>
  <c r="U163" i="4"/>
  <c r="T163" i="4"/>
  <c r="S163" i="4"/>
  <c r="AF162" i="4"/>
  <c r="AE162" i="4"/>
  <c r="AD162" i="4"/>
  <c r="AA162" i="4" s="1"/>
  <c r="AC162" i="4"/>
  <c r="AB162" i="4"/>
  <c r="Z162" i="4"/>
  <c r="Y162" i="4"/>
  <c r="X162" i="4"/>
  <c r="W162" i="4"/>
  <c r="U162" i="4"/>
  <c r="T162" i="4"/>
  <c r="S162" i="4"/>
  <c r="AF161" i="4"/>
  <c r="AE161" i="4"/>
  <c r="AD161" i="4"/>
  <c r="AB161" i="4" s="1"/>
  <c r="AC161" i="4"/>
  <c r="Z161" i="4"/>
  <c r="Y161" i="4"/>
  <c r="X161" i="4"/>
  <c r="W161" i="4"/>
  <c r="U161" i="4"/>
  <c r="T161" i="4"/>
  <c r="S161" i="4"/>
  <c r="AF160" i="4"/>
  <c r="AE160" i="4"/>
  <c r="AD160" i="4"/>
  <c r="AC160" i="4" s="1"/>
  <c r="AB160" i="4"/>
  <c r="AA160" i="4"/>
  <c r="Z160" i="4"/>
  <c r="Y160" i="4"/>
  <c r="X160" i="4"/>
  <c r="W160" i="4"/>
  <c r="U160" i="4"/>
  <c r="T160" i="4"/>
  <c r="S160" i="4"/>
  <c r="AF159" i="4"/>
  <c r="AE159" i="4"/>
  <c r="AD159" i="4"/>
  <c r="AC159" i="4"/>
  <c r="AB159" i="4"/>
  <c r="AA159" i="4"/>
  <c r="Z159" i="4"/>
  <c r="Y159" i="4"/>
  <c r="X159" i="4"/>
  <c r="W159" i="4"/>
  <c r="U159" i="4"/>
  <c r="T159" i="4"/>
  <c r="S159" i="4"/>
  <c r="AF158" i="4"/>
  <c r="AE158" i="4"/>
  <c r="AD158" i="4"/>
  <c r="AB158" i="4" s="1"/>
  <c r="Z158" i="4"/>
  <c r="Y158" i="4"/>
  <c r="X158" i="4"/>
  <c r="W158" i="4"/>
  <c r="U158" i="4"/>
  <c r="T158" i="4"/>
  <c r="S158" i="4"/>
  <c r="AF157" i="4"/>
  <c r="AE157" i="4"/>
  <c r="AD157" i="4"/>
  <c r="AC157" i="4" s="1"/>
  <c r="AA157" i="4"/>
  <c r="Z157" i="4"/>
  <c r="Y157" i="4"/>
  <c r="X157" i="4"/>
  <c r="W157" i="4"/>
  <c r="U157" i="4"/>
  <c r="T157" i="4"/>
  <c r="S157" i="4"/>
  <c r="AF156" i="4"/>
  <c r="AE156" i="4"/>
  <c r="AD156" i="4"/>
  <c r="AC156" i="4" s="1"/>
  <c r="AA156" i="4"/>
  <c r="Z156" i="4"/>
  <c r="Y156" i="4"/>
  <c r="X156" i="4"/>
  <c r="W156" i="4"/>
  <c r="U156" i="4"/>
  <c r="T156" i="4"/>
  <c r="S156" i="4"/>
  <c r="AF155" i="4"/>
  <c r="AE155" i="4"/>
  <c r="AD155" i="4"/>
  <c r="AC155" i="4"/>
  <c r="AB155" i="4"/>
  <c r="AA155" i="4"/>
  <c r="Z155" i="4"/>
  <c r="Y155" i="4"/>
  <c r="X155" i="4"/>
  <c r="W155" i="4"/>
  <c r="U155" i="4"/>
  <c r="T155" i="4"/>
  <c r="S155" i="4"/>
  <c r="AF154" i="4"/>
  <c r="AE154" i="4"/>
  <c r="AD154" i="4"/>
  <c r="AA154" i="4" s="1"/>
  <c r="AC154" i="4"/>
  <c r="AB154" i="4"/>
  <c r="Z154" i="4"/>
  <c r="Y154" i="4"/>
  <c r="X154" i="4"/>
  <c r="W154" i="4"/>
  <c r="U154" i="4"/>
  <c r="T154" i="4"/>
  <c r="S154" i="4"/>
  <c r="AF153" i="4"/>
  <c r="AE153" i="4"/>
  <c r="AD153" i="4"/>
  <c r="AB153" i="4" s="1"/>
  <c r="AC153" i="4"/>
  <c r="Z153" i="4"/>
  <c r="Y153" i="4"/>
  <c r="X153" i="4"/>
  <c r="W153" i="4"/>
  <c r="U153" i="4"/>
  <c r="T153" i="4"/>
  <c r="S153" i="4"/>
  <c r="AF152" i="4"/>
  <c r="AE152" i="4"/>
  <c r="AD152" i="4"/>
  <c r="AC152" i="4" s="1"/>
  <c r="AB152" i="4"/>
  <c r="AA152" i="4"/>
  <c r="Z152" i="4"/>
  <c r="Y152" i="4"/>
  <c r="X152" i="4"/>
  <c r="W152" i="4"/>
  <c r="U152" i="4"/>
  <c r="T152" i="4"/>
  <c r="S152" i="4"/>
  <c r="AF151" i="4"/>
  <c r="AE151" i="4"/>
  <c r="AD151" i="4"/>
  <c r="AC151" i="4"/>
  <c r="AB151" i="4"/>
  <c r="AA151" i="4"/>
  <c r="Z151" i="4"/>
  <c r="Y151" i="4"/>
  <c r="X151" i="4"/>
  <c r="W151" i="4"/>
  <c r="U151" i="4"/>
  <c r="T151" i="4"/>
  <c r="S151" i="4"/>
  <c r="AF150" i="4"/>
  <c r="AE150" i="4"/>
  <c r="AD150" i="4"/>
  <c r="AB150" i="4" s="1"/>
  <c r="Z150" i="4"/>
  <c r="Y150" i="4"/>
  <c r="X150" i="4"/>
  <c r="W150" i="4"/>
  <c r="U150" i="4"/>
  <c r="T150" i="4"/>
  <c r="S150" i="4"/>
  <c r="AF149" i="4"/>
  <c r="AE149" i="4"/>
  <c r="AD149" i="4"/>
  <c r="AB149" i="4" s="1"/>
  <c r="AC149" i="4"/>
  <c r="AA149" i="4"/>
  <c r="Z149" i="4"/>
  <c r="Y149" i="4"/>
  <c r="X149" i="4"/>
  <c r="W149" i="4"/>
  <c r="U149" i="4"/>
  <c r="T149" i="4"/>
  <c r="S149" i="4"/>
  <c r="AF148" i="4"/>
  <c r="AE148" i="4"/>
  <c r="AD148" i="4"/>
  <c r="AC148" i="4" s="1"/>
  <c r="AA148" i="4"/>
  <c r="Z148" i="4"/>
  <c r="Y148" i="4"/>
  <c r="X148" i="4"/>
  <c r="W148" i="4"/>
  <c r="U148" i="4"/>
  <c r="T148" i="4"/>
  <c r="S148" i="4"/>
  <c r="AF147" i="4"/>
  <c r="AE147" i="4"/>
  <c r="AD147" i="4"/>
  <c r="AC147" i="4"/>
  <c r="AB147" i="4"/>
  <c r="AA147" i="4"/>
  <c r="Z147" i="4"/>
  <c r="Y147" i="4"/>
  <c r="X147" i="4"/>
  <c r="W147" i="4"/>
  <c r="U147" i="4"/>
  <c r="T147" i="4"/>
  <c r="S147" i="4"/>
  <c r="AF146" i="4"/>
  <c r="AE146" i="4"/>
  <c r="AD146" i="4"/>
  <c r="AA146" i="4" s="1"/>
  <c r="AC146" i="4"/>
  <c r="AB146" i="4"/>
  <c r="Z146" i="4"/>
  <c r="Y146" i="4"/>
  <c r="X146" i="4"/>
  <c r="W146" i="4"/>
  <c r="U146" i="4"/>
  <c r="T146" i="4"/>
  <c r="S146" i="4"/>
  <c r="AF145" i="4"/>
  <c r="AE145" i="4"/>
  <c r="AD145" i="4"/>
  <c r="AC145" i="4" s="1"/>
  <c r="Z145" i="4"/>
  <c r="Y145" i="4"/>
  <c r="X145" i="4"/>
  <c r="W145" i="4"/>
  <c r="U145" i="4"/>
  <c r="T145" i="4"/>
  <c r="S145" i="4"/>
  <c r="AF144" i="4"/>
  <c r="AE144" i="4"/>
  <c r="AD144" i="4"/>
  <c r="AC144" i="4" s="1"/>
  <c r="AB144" i="4"/>
  <c r="AA144" i="4"/>
  <c r="Z144" i="4"/>
  <c r="Y144" i="4"/>
  <c r="X144" i="4"/>
  <c r="W144" i="4"/>
  <c r="U144" i="4"/>
  <c r="T144" i="4"/>
  <c r="S144" i="4"/>
  <c r="AF143" i="4"/>
  <c r="AE143" i="4"/>
  <c r="AD143" i="4"/>
  <c r="AC143" i="4"/>
  <c r="AB143" i="4"/>
  <c r="AA143" i="4"/>
  <c r="Z143" i="4"/>
  <c r="Y143" i="4"/>
  <c r="X143" i="4"/>
  <c r="W143" i="4"/>
  <c r="U143" i="4"/>
  <c r="T143" i="4"/>
  <c r="S143" i="4"/>
  <c r="AF142" i="4"/>
  <c r="AE142" i="4"/>
  <c r="AD142" i="4"/>
  <c r="AB142" i="4" s="1"/>
  <c r="Z142" i="4"/>
  <c r="Y142" i="4"/>
  <c r="X142" i="4"/>
  <c r="W142" i="4"/>
  <c r="U142" i="4"/>
  <c r="T142" i="4"/>
  <c r="S142" i="4"/>
  <c r="AF141" i="4"/>
  <c r="AE141" i="4"/>
  <c r="AD141" i="4"/>
  <c r="AB141" i="4" s="1"/>
  <c r="AC141" i="4"/>
  <c r="AA141" i="4"/>
  <c r="Z141" i="4"/>
  <c r="Y141" i="4"/>
  <c r="X141" i="4"/>
  <c r="W141" i="4"/>
  <c r="U141" i="4"/>
  <c r="T141" i="4"/>
  <c r="S141" i="4"/>
  <c r="AF140" i="4"/>
  <c r="AE140" i="4"/>
  <c r="AD140" i="4"/>
  <c r="AC140" i="4" s="1"/>
  <c r="AA140" i="4"/>
  <c r="Z140" i="4"/>
  <c r="Y140" i="4"/>
  <c r="X140" i="4"/>
  <c r="W140" i="4"/>
  <c r="U140" i="4"/>
  <c r="T140" i="4"/>
  <c r="S140" i="4"/>
  <c r="AF139" i="4"/>
  <c r="AE139" i="4"/>
  <c r="AD139" i="4"/>
  <c r="AC139" i="4"/>
  <c r="AB139" i="4"/>
  <c r="AA139" i="4"/>
  <c r="Z139" i="4"/>
  <c r="Y139" i="4"/>
  <c r="X139" i="4"/>
  <c r="W139" i="4"/>
  <c r="U139" i="4"/>
  <c r="T139" i="4"/>
  <c r="S139" i="4"/>
  <c r="AF138" i="4"/>
  <c r="AE138" i="4"/>
  <c r="AD138" i="4"/>
  <c r="AA138" i="4" s="1"/>
  <c r="AC138" i="4"/>
  <c r="AB138" i="4"/>
  <c r="Z138" i="4"/>
  <c r="Y138" i="4"/>
  <c r="X138" i="4"/>
  <c r="W138" i="4"/>
  <c r="U138" i="4"/>
  <c r="T138" i="4"/>
  <c r="S138" i="4"/>
  <c r="AF137" i="4"/>
  <c r="AE137" i="4"/>
  <c r="AD137" i="4"/>
  <c r="AC137" i="4" s="1"/>
  <c r="Z137" i="4"/>
  <c r="Y137" i="4"/>
  <c r="X137" i="4"/>
  <c r="W137" i="4"/>
  <c r="U137" i="4"/>
  <c r="T137" i="4"/>
  <c r="S137" i="4"/>
  <c r="AF136" i="4"/>
  <c r="AE136" i="4"/>
  <c r="AD136" i="4"/>
  <c r="AC136" i="4" s="1"/>
  <c r="AB136" i="4"/>
  <c r="Z136" i="4"/>
  <c r="Y136" i="4"/>
  <c r="X136" i="4"/>
  <c r="W136" i="4"/>
  <c r="U136" i="4"/>
  <c r="T136" i="4"/>
  <c r="S136" i="4"/>
  <c r="AF135" i="4"/>
  <c r="AE135" i="4"/>
  <c r="AD135" i="4"/>
  <c r="AC135" i="4"/>
  <c r="AB135" i="4"/>
  <c r="AA135" i="4"/>
  <c r="Z135" i="4"/>
  <c r="Y135" i="4"/>
  <c r="X135" i="4"/>
  <c r="W135" i="4"/>
  <c r="U135" i="4"/>
  <c r="T135" i="4"/>
  <c r="S135" i="4"/>
  <c r="AF134" i="4"/>
  <c r="AE134" i="4"/>
  <c r="AD134" i="4"/>
  <c r="AB134" i="4" s="1"/>
  <c r="Z134" i="4"/>
  <c r="Y134" i="4"/>
  <c r="X134" i="4"/>
  <c r="W134" i="4"/>
  <c r="U134" i="4"/>
  <c r="T134" i="4"/>
  <c r="S134" i="4"/>
  <c r="AF133" i="4"/>
  <c r="AE133" i="4"/>
  <c r="AD133" i="4"/>
  <c r="AB133" i="4" s="1"/>
  <c r="AC133" i="4"/>
  <c r="AA133" i="4"/>
  <c r="Z133" i="4"/>
  <c r="Y133" i="4"/>
  <c r="X133" i="4"/>
  <c r="W133" i="4"/>
  <c r="U133" i="4"/>
  <c r="T133" i="4"/>
  <c r="S133" i="4"/>
  <c r="AF132" i="4"/>
  <c r="AE132" i="4"/>
  <c r="AD132" i="4"/>
  <c r="AC132" i="4" s="1"/>
  <c r="AA132" i="4"/>
  <c r="Z132" i="4"/>
  <c r="Y132" i="4"/>
  <c r="X132" i="4"/>
  <c r="W132" i="4"/>
  <c r="U132" i="4"/>
  <c r="T132" i="4"/>
  <c r="S132" i="4"/>
  <c r="AF131" i="4"/>
  <c r="AE131" i="4"/>
  <c r="AD131" i="4"/>
  <c r="AC131" i="4"/>
  <c r="AB131" i="4"/>
  <c r="AA131" i="4"/>
  <c r="Z131" i="4"/>
  <c r="Y131" i="4"/>
  <c r="X131" i="4"/>
  <c r="W131" i="4"/>
  <c r="U131" i="4"/>
  <c r="T131" i="4"/>
  <c r="S131" i="4"/>
  <c r="AF130" i="4"/>
  <c r="AE130" i="4"/>
  <c r="AD130" i="4"/>
  <c r="AA130" i="4" s="1"/>
  <c r="AC130" i="4"/>
  <c r="AB130" i="4"/>
  <c r="Z130" i="4"/>
  <c r="Y130" i="4"/>
  <c r="X130" i="4"/>
  <c r="W130" i="4"/>
  <c r="U130" i="4"/>
  <c r="T130" i="4"/>
  <c r="S130" i="4"/>
  <c r="AF129" i="4"/>
  <c r="AE129" i="4"/>
  <c r="AD129" i="4"/>
  <c r="AC129" i="4" s="1"/>
  <c r="Z129" i="4"/>
  <c r="Y129" i="4"/>
  <c r="X129" i="4"/>
  <c r="W129" i="4"/>
  <c r="U129" i="4"/>
  <c r="T129" i="4"/>
  <c r="S129" i="4"/>
  <c r="AF128" i="4"/>
  <c r="AE128" i="4"/>
  <c r="AD128" i="4"/>
  <c r="AC128" i="4" s="1"/>
  <c r="AB128" i="4"/>
  <c r="Z128" i="4"/>
  <c r="Y128" i="4"/>
  <c r="X128" i="4"/>
  <c r="W128" i="4"/>
  <c r="U128" i="4"/>
  <c r="T128" i="4"/>
  <c r="S128" i="4"/>
  <c r="AF127" i="4"/>
  <c r="AE127" i="4"/>
  <c r="AD127" i="4"/>
  <c r="AC127" i="4"/>
  <c r="AB127" i="4"/>
  <c r="AA127" i="4"/>
  <c r="Z127" i="4"/>
  <c r="Y127" i="4"/>
  <c r="X127" i="4"/>
  <c r="W127" i="4"/>
  <c r="U127" i="4"/>
  <c r="T127" i="4"/>
  <c r="S127" i="4"/>
  <c r="AF126" i="4"/>
  <c r="AE126" i="4"/>
  <c r="AD126" i="4"/>
  <c r="AB126" i="4" s="1"/>
  <c r="Z126" i="4"/>
  <c r="Y126" i="4"/>
  <c r="X126" i="4"/>
  <c r="W126" i="4"/>
  <c r="U126" i="4"/>
  <c r="T126" i="4"/>
  <c r="S126" i="4"/>
  <c r="AF125" i="4"/>
  <c r="AE125" i="4"/>
  <c r="AD125" i="4"/>
  <c r="AB125" i="4" s="1"/>
  <c r="AC125" i="4"/>
  <c r="AA125" i="4"/>
  <c r="Z125" i="4"/>
  <c r="Y125" i="4"/>
  <c r="X125" i="4"/>
  <c r="W125" i="4"/>
  <c r="U125" i="4"/>
  <c r="T125" i="4"/>
  <c r="S125" i="4"/>
  <c r="AF124" i="4"/>
  <c r="AE124" i="4"/>
  <c r="AD124" i="4"/>
  <c r="AC124" i="4" s="1"/>
  <c r="AA124" i="4"/>
  <c r="Z124" i="4"/>
  <c r="Y124" i="4"/>
  <c r="X124" i="4"/>
  <c r="W124" i="4"/>
  <c r="U124" i="4"/>
  <c r="T124" i="4"/>
  <c r="S124" i="4"/>
  <c r="AF123" i="4"/>
  <c r="AE123" i="4"/>
  <c r="AD123" i="4"/>
  <c r="AC123" i="4"/>
  <c r="AB123" i="4"/>
  <c r="AA123" i="4"/>
  <c r="Z123" i="4"/>
  <c r="Y123" i="4"/>
  <c r="X123" i="4"/>
  <c r="W123" i="4"/>
  <c r="U123" i="4"/>
  <c r="T123" i="4"/>
  <c r="S123" i="4"/>
  <c r="AF122" i="4"/>
  <c r="AE122" i="4"/>
  <c r="AD122" i="4"/>
  <c r="AA122" i="4" s="1"/>
  <c r="AC122" i="4"/>
  <c r="AB122" i="4"/>
  <c r="Z122" i="4"/>
  <c r="Y122" i="4"/>
  <c r="X122" i="4"/>
  <c r="W122" i="4"/>
  <c r="U122" i="4"/>
  <c r="T122" i="4"/>
  <c r="S122" i="4"/>
  <c r="AF121" i="4"/>
  <c r="AE121" i="4"/>
  <c r="AD121" i="4"/>
  <c r="AC121" i="4" s="1"/>
  <c r="Z121" i="4"/>
  <c r="Y121" i="4"/>
  <c r="X121" i="4"/>
  <c r="W121" i="4"/>
  <c r="U121" i="4"/>
  <c r="T121" i="4"/>
  <c r="S121" i="4"/>
  <c r="AF120" i="4"/>
  <c r="AE120" i="4"/>
  <c r="AD120" i="4"/>
  <c r="AC120" i="4" s="1"/>
  <c r="AB120" i="4"/>
  <c r="Z120" i="4"/>
  <c r="Y120" i="4"/>
  <c r="X120" i="4"/>
  <c r="W120" i="4"/>
  <c r="U120" i="4"/>
  <c r="T120" i="4"/>
  <c r="S120" i="4"/>
  <c r="AF119" i="4"/>
  <c r="AE119" i="4"/>
  <c r="AD119" i="4"/>
  <c r="AC119" i="4"/>
  <c r="AB119" i="4"/>
  <c r="AA119" i="4"/>
  <c r="Z119" i="4"/>
  <c r="Y119" i="4"/>
  <c r="X119" i="4"/>
  <c r="W119" i="4"/>
  <c r="U119" i="4"/>
  <c r="T119" i="4"/>
  <c r="S119" i="4"/>
  <c r="AF118" i="4"/>
  <c r="AE118" i="4"/>
  <c r="AD118" i="4"/>
  <c r="AB118" i="4" s="1"/>
  <c r="Z118" i="4"/>
  <c r="Y118" i="4"/>
  <c r="X118" i="4"/>
  <c r="W118" i="4"/>
  <c r="U118" i="4"/>
  <c r="T118" i="4"/>
  <c r="S118" i="4"/>
  <c r="AF117" i="4"/>
  <c r="AE117" i="4"/>
  <c r="AD117" i="4"/>
  <c r="AB117" i="4" s="1"/>
  <c r="AC117" i="4"/>
  <c r="AA117" i="4"/>
  <c r="Z117" i="4"/>
  <c r="Y117" i="4"/>
  <c r="X117" i="4"/>
  <c r="W117" i="4"/>
  <c r="U117" i="4"/>
  <c r="T117" i="4"/>
  <c r="S117" i="4"/>
  <c r="AF116" i="4"/>
  <c r="AE116" i="4"/>
  <c r="AD116" i="4"/>
  <c r="AC116" i="4" s="1"/>
  <c r="AA116" i="4"/>
  <c r="Z116" i="4"/>
  <c r="Y116" i="4"/>
  <c r="X116" i="4"/>
  <c r="W116" i="4"/>
  <c r="U116" i="4"/>
  <c r="T116" i="4"/>
  <c r="S116" i="4"/>
  <c r="AF115" i="4"/>
  <c r="AE115" i="4"/>
  <c r="AD115" i="4"/>
  <c r="AC115" i="4"/>
  <c r="AB115" i="4"/>
  <c r="AA115" i="4"/>
  <c r="Z115" i="4"/>
  <c r="Y115" i="4"/>
  <c r="X115" i="4"/>
  <c r="W115" i="4"/>
  <c r="U115" i="4"/>
  <c r="T115" i="4"/>
  <c r="S115" i="4"/>
  <c r="AF114" i="4"/>
  <c r="AE114" i="4"/>
  <c r="AD114" i="4"/>
  <c r="AA114" i="4" s="1"/>
  <c r="AC114" i="4"/>
  <c r="AB114" i="4"/>
  <c r="Z114" i="4"/>
  <c r="Y114" i="4"/>
  <c r="X114" i="4"/>
  <c r="W114" i="4"/>
  <c r="U114" i="4"/>
  <c r="T114" i="4"/>
  <c r="S114" i="4"/>
  <c r="AF113" i="4"/>
  <c r="AE113" i="4"/>
  <c r="AD113" i="4"/>
  <c r="AC113" i="4" s="1"/>
  <c r="Z113" i="4"/>
  <c r="Y113" i="4"/>
  <c r="X113" i="4"/>
  <c r="W113" i="4"/>
  <c r="U113" i="4"/>
  <c r="T113" i="4"/>
  <c r="S113" i="4"/>
  <c r="AF112" i="4"/>
  <c r="AE112" i="4"/>
  <c r="AD112" i="4"/>
  <c r="AC112" i="4" s="1"/>
  <c r="AB112" i="4"/>
  <c r="Z112" i="4"/>
  <c r="Y112" i="4"/>
  <c r="X112" i="4"/>
  <c r="W112" i="4"/>
  <c r="U112" i="4"/>
  <c r="T112" i="4"/>
  <c r="S112" i="4"/>
  <c r="AF111" i="4"/>
  <c r="AE111" i="4"/>
  <c r="AD111" i="4"/>
  <c r="AC111" i="4"/>
  <c r="AB111" i="4"/>
  <c r="AA111" i="4"/>
  <c r="Z111" i="4"/>
  <c r="Y111" i="4"/>
  <c r="X111" i="4"/>
  <c r="W111" i="4"/>
  <c r="U111" i="4"/>
  <c r="T111" i="4"/>
  <c r="S111" i="4"/>
  <c r="AF110" i="4"/>
  <c r="AE110" i="4"/>
  <c r="AD110" i="4"/>
  <c r="AB110" i="4" s="1"/>
  <c r="Z110" i="4"/>
  <c r="Y110" i="4"/>
  <c r="X110" i="4"/>
  <c r="W110" i="4"/>
  <c r="U110" i="4"/>
  <c r="T110" i="4"/>
  <c r="S110" i="4"/>
  <c r="AF109" i="4"/>
  <c r="AE109" i="4"/>
  <c r="AD109" i="4"/>
  <c r="AB109" i="4" s="1"/>
  <c r="AC109" i="4"/>
  <c r="AA109" i="4"/>
  <c r="Z109" i="4"/>
  <c r="Y109" i="4"/>
  <c r="X109" i="4"/>
  <c r="W109" i="4"/>
  <c r="U109" i="4"/>
  <c r="T109" i="4"/>
  <c r="S109" i="4"/>
  <c r="AF108" i="4"/>
  <c r="AE108" i="4"/>
  <c r="AD108" i="4"/>
  <c r="AC108" i="4" s="1"/>
  <c r="AA108" i="4"/>
  <c r="Z108" i="4"/>
  <c r="Y108" i="4"/>
  <c r="X108" i="4"/>
  <c r="W108" i="4"/>
  <c r="U108" i="4"/>
  <c r="T108" i="4"/>
  <c r="S108" i="4"/>
  <c r="AF107" i="4"/>
  <c r="AE107" i="4"/>
  <c r="AD107" i="4"/>
  <c r="AC107" i="4"/>
  <c r="AB107" i="4"/>
  <c r="AA107" i="4"/>
  <c r="Z107" i="4"/>
  <c r="Y107" i="4"/>
  <c r="X107" i="4"/>
  <c r="W107" i="4"/>
  <c r="U107" i="4"/>
  <c r="T107" i="4"/>
  <c r="S107" i="4"/>
  <c r="AF106" i="4"/>
  <c r="AE106" i="4"/>
  <c r="AD106" i="4"/>
  <c r="AA106" i="4" s="1"/>
  <c r="AC106" i="4"/>
  <c r="AB106" i="4"/>
  <c r="Z106" i="4"/>
  <c r="Y106" i="4"/>
  <c r="X106" i="4"/>
  <c r="W106" i="4"/>
  <c r="U106" i="4"/>
  <c r="T106" i="4"/>
  <c r="S106" i="4"/>
  <c r="AF105" i="4"/>
  <c r="AE105" i="4"/>
  <c r="AD105" i="4"/>
  <c r="AC105" i="4" s="1"/>
  <c r="Z105" i="4"/>
  <c r="Y105" i="4"/>
  <c r="X105" i="4"/>
  <c r="W105" i="4"/>
  <c r="U105" i="4"/>
  <c r="T105" i="4"/>
  <c r="S105" i="4"/>
  <c r="AF104" i="4"/>
  <c r="AE104" i="4"/>
  <c r="AD104" i="4"/>
  <c r="AC104" i="4" s="1"/>
  <c r="AB104" i="4"/>
  <c r="Z104" i="4"/>
  <c r="Y104" i="4"/>
  <c r="X104" i="4"/>
  <c r="W104" i="4"/>
  <c r="U104" i="4"/>
  <c r="T104" i="4"/>
  <c r="S104" i="4"/>
  <c r="AF103" i="4"/>
  <c r="AE103" i="4"/>
  <c r="AD103" i="4"/>
  <c r="AC103" i="4"/>
  <c r="AB103" i="4"/>
  <c r="AA103" i="4"/>
  <c r="Z103" i="4"/>
  <c r="Y103" i="4"/>
  <c r="X103" i="4"/>
  <c r="W103" i="4"/>
  <c r="U103" i="4"/>
  <c r="T103" i="4"/>
  <c r="S103" i="4"/>
  <c r="AF102" i="4"/>
  <c r="AE102" i="4"/>
  <c r="AD102" i="4"/>
  <c r="AB102" i="4" s="1"/>
  <c r="Z102" i="4"/>
  <c r="Y102" i="4"/>
  <c r="X102" i="4"/>
  <c r="W102" i="4"/>
  <c r="U102" i="4"/>
  <c r="T102" i="4"/>
  <c r="S102" i="4"/>
  <c r="AF101" i="4"/>
  <c r="AE101" i="4"/>
  <c r="AD101" i="4"/>
  <c r="AB101" i="4" s="1"/>
  <c r="AC101" i="4"/>
  <c r="AA101" i="4"/>
  <c r="Z101" i="4"/>
  <c r="Y101" i="4"/>
  <c r="X101" i="4"/>
  <c r="W101" i="4"/>
  <c r="U101" i="4"/>
  <c r="T101" i="4"/>
  <c r="S101" i="4"/>
  <c r="AF100" i="4"/>
  <c r="AE100" i="4"/>
  <c r="AD100" i="4"/>
  <c r="AC100" i="4" s="1"/>
  <c r="AA100" i="4"/>
  <c r="Z100" i="4"/>
  <c r="Y100" i="4"/>
  <c r="X100" i="4"/>
  <c r="W100" i="4"/>
  <c r="U100" i="4"/>
  <c r="T100" i="4"/>
  <c r="S100" i="4"/>
  <c r="AF99" i="4"/>
  <c r="AE99" i="4"/>
  <c r="AD99" i="4"/>
  <c r="AC99" i="4"/>
  <c r="AB99" i="4"/>
  <c r="AA99" i="4"/>
  <c r="Z99" i="4"/>
  <c r="Y99" i="4"/>
  <c r="X99" i="4"/>
  <c r="W99" i="4"/>
  <c r="U99" i="4"/>
  <c r="T99" i="4"/>
  <c r="S99" i="4"/>
  <c r="AF98" i="4"/>
  <c r="AE98" i="4"/>
  <c r="AD98" i="4"/>
  <c r="AA98" i="4" s="1"/>
  <c r="AC98" i="4"/>
  <c r="AB98" i="4"/>
  <c r="Z98" i="4"/>
  <c r="Y98" i="4"/>
  <c r="X98" i="4"/>
  <c r="W98" i="4"/>
  <c r="U98" i="4"/>
  <c r="T98" i="4"/>
  <c r="S98" i="4"/>
  <c r="AF97" i="4"/>
  <c r="AE97" i="4"/>
  <c r="AD97" i="4"/>
  <c r="AC97" i="4" s="1"/>
  <c r="Z97" i="4"/>
  <c r="Y97" i="4"/>
  <c r="X97" i="4"/>
  <c r="W97" i="4"/>
  <c r="U97" i="4"/>
  <c r="T97" i="4"/>
  <c r="S97" i="4"/>
  <c r="AF96" i="4"/>
  <c r="AE96" i="4"/>
  <c r="AD96" i="4"/>
  <c r="AC96" i="4" s="1"/>
  <c r="AB96" i="4"/>
  <c r="Z96" i="4"/>
  <c r="Y96" i="4"/>
  <c r="X96" i="4"/>
  <c r="W96" i="4"/>
  <c r="U96" i="4"/>
  <c r="T96" i="4"/>
  <c r="S96" i="4"/>
  <c r="AF95" i="4"/>
  <c r="AE95" i="4"/>
  <c r="AD95" i="4"/>
  <c r="AC95" i="4"/>
  <c r="AB95" i="4"/>
  <c r="AA95" i="4"/>
  <c r="Z95" i="4"/>
  <c r="Y95" i="4"/>
  <c r="X95" i="4"/>
  <c r="W95" i="4"/>
  <c r="U95" i="4"/>
  <c r="T95" i="4"/>
  <c r="S95" i="4"/>
  <c r="AF94" i="4"/>
  <c r="AE94" i="4"/>
  <c r="AD94" i="4"/>
  <c r="AB94" i="4" s="1"/>
  <c r="Z94" i="4"/>
  <c r="Y94" i="4"/>
  <c r="X94" i="4"/>
  <c r="W94" i="4"/>
  <c r="U94" i="4"/>
  <c r="T94" i="4"/>
  <c r="S94" i="4"/>
  <c r="AF93" i="4"/>
  <c r="AE93" i="4"/>
  <c r="AD93" i="4"/>
  <c r="AB93" i="4" s="1"/>
  <c r="AC93" i="4"/>
  <c r="AA93" i="4"/>
  <c r="Z93" i="4"/>
  <c r="Y93" i="4"/>
  <c r="X93" i="4"/>
  <c r="W93" i="4"/>
  <c r="U93" i="4"/>
  <c r="T93" i="4"/>
  <c r="S93" i="4"/>
  <c r="AF92" i="4"/>
  <c r="AE92" i="4"/>
  <c r="AD92" i="4"/>
  <c r="AC92" i="4" s="1"/>
  <c r="AA92" i="4"/>
  <c r="Z92" i="4"/>
  <c r="Y92" i="4"/>
  <c r="X92" i="4"/>
  <c r="W92" i="4"/>
  <c r="U92" i="4"/>
  <c r="T92" i="4"/>
  <c r="S92" i="4"/>
  <c r="AF91" i="4"/>
  <c r="AE91" i="4"/>
  <c r="AD91" i="4"/>
  <c r="AC91" i="4"/>
  <c r="AB91" i="4"/>
  <c r="AA91" i="4"/>
  <c r="Z91" i="4"/>
  <c r="Y91" i="4"/>
  <c r="X91" i="4"/>
  <c r="W91" i="4"/>
  <c r="U91" i="4"/>
  <c r="T91" i="4"/>
  <c r="S91" i="4"/>
  <c r="AF90" i="4"/>
  <c r="AE90" i="4"/>
  <c r="AD90" i="4"/>
  <c r="AA90" i="4" s="1"/>
  <c r="AC90" i="4"/>
  <c r="AB90" i="4"/>
  <c r="Z90" i="4"/>
  <c r="Y90" i="4"/>
  <c r="X90" i="4"/>
  <c r="W90" i="4"/>
  <c r="U90" i="4"/>
  <c r="T90" i="4"/>
  <c r="S90" i="4"/>
  <c r="AF89" i="4"/>
  <c r="AE89" i="4"/>
  <c r="AD89" i="4"/>
  <c r="AC89" i="4" s="1"/>
  <c r="Z89" i="4"/>
  <c r="Y89" i="4"/>
  <c r="X89" i="4"/>
  <c r="W89" i="4"/>
  <c r="U89" i="4"/>
  <c r="T89" i="4"/>
  <c r="S89" i="4"/>
  <c r="AF88" i="4"/>
  <c r="AE88" i="4"/>
  <c r="AD88" i="4"/>
  <c r="AC88" i="4" s="1"/>
  <c r="AB88" i="4"/>
  <c r="Z88" i="4"/>
  <c r="Y88" i="4"/>
  <c r="X88" i="4"/>
  <c r="W88" i="4"/>
  <c r="U88" i="4"/>
  <c r="T88" i="4"/>
  <c r="S88" i="4"/>
  <c r="AF87" i="4"/>
  <c r="AE87" i="4"/>
  <c r="AD87" i="4"/>
  <c r="AC87" i="4"/>
  <c r="AB87" i="4"/>
  <c r="AA87" i="4"/>
  <c r="Z87" i="4"/>
  <c r="Y87" i="4"/>
  <c r="X87" i="4"/>
  <c r="W87" i="4"/>
  <c r="U87" i="4"/>
  <c r="T87" i="4"/>
  <c r="S87" i="4"/>
  <c r="AF86" i="4"/>
  <c r="AE86" i="4"/>
  <c r="AD86" i="4"/>
  <c r="AB86" i="4" s="1"/>
  <c r="Z86" i="4"/>
  <c r="Y86" i="4"/>
  <c r="X86" i="4"/>
  <c r="W86" i="4"/>
  <c r="U86" i="4"/>
  <c r="T86" i="4"/>
  <c r="S86" i="4"/>
  <c r="AF85" i="4"/>
  <c r="AE85" i="4"/>
  <c r="AD85" i="4"/>
  <c r="AB85" i="4" s="1"/>
  <c r="AC85" i="4"/>
  <c r="AA85" i="4"/>
  <c r="Z85" i="4"/>
  <c r="Y85" i="4"/>
  <c r="X85" i="4"/>
  <c r="W85" i="4"/>
  <c r="U85" i="4"/>
  <c r="T85" i="4"/>
  <c r="S85" i="4"/>
  <c r="AF84" i="4"/>
  <c r="AE84" i="4"/>
  <c r="AD84" i="4"/>
  <c r="AC84" i="4" s="1"/>
  <c r="AA84" i="4"/>
  <c r="Z84" i="4"/>
  <c r="Y84" i="4"/>
  <c r="X84" i="4"/>
  <c r="W84" i="4"/>
  <c r="U84" i="4"/>
  <c r="T84" i="4"/>
  <c r="S84" i="4"/>
  <c r="AF83" i="4"/>
  <c r="AE83" i="4"/>
  <c r="AD83" i="4"/>
  <c r="AC83" i="4"/>
  <c r="AB83" i="4"/>
  <c r="AA83" i="4"/>
  <c r="Z83" i="4"/>
  <c r="Y83" i="4"/>
  <c r="X83" i="4"/>
  <c r="W83" i="4"/>
  <c r="U83" i="4"/>
  <c r="T83" i="4"/>
  <c r="S83" i="4"/>
  <c r="AF82" i="4"/>
  <c r="AE82" i="4"/>
  <c r="AD82" i="4"/>
  <c r="AA82" i="4" s="1"/>
  <c r="AC82" i="4"/>
  <c r="AB82" i="4"/>
  <c r="Z82" i="4"/>
  <c r="Y82" i="4"/>
  <c r="X82" i="4"/>
  <c r="W82" i="4"/>
  <c r="U82" i="4"/>
  <c r="T82" i="4"/>
  <c r="S82" i="4"/>
  <c r="AF81" i="4"/>
  <c r="AE81" i="4"/>
  <c r="AD81" i="4"/>
  <c r="AC81" i="4" s="1"/>
  <c r="Z81" i="4"/>
  <c r="Y81" i="4"/>
  <c r="X81" i="4"/>
  <c r="W81" i="4"/>
  <c r="U81" i="4"/>
  <c r="T81" i="4"/>
  <c r="S81" i="4"/>
  <c r="AF80" i="4"/>
  <c r="AE80" i="4"/>
  <c r="AD80" i="4"/>
  <c r="AC80" i="4" s="1"/>
  <c r="AB80" i="4"/>
  <c r="Z80" i="4"/>
  <c r="Y80" i="4"/>
  <c r="X80" i="4"/>
  <c r="W80" i="4"/>
  <c r="U80" i="4"/>
  <c r="T80" i="4"/>
  <c r="S80" i="4"/>
  <c r="AF79" i="4"/>
  <c r="AE79" i="4"/>
  <c r="AD79" i="4"/>
  <c r="AC79" i="4"/>
  <c r="AB79" i="4"/>
  <c r="AA79" i="4"/>
  <c r="Z79" i="4"/>
  <c r="Y79" i="4"/>
  <c r="X79" i="4"/>
  <c r="W79" i="4"/>
  <c r="U79" i="4"/>
  <c r="T79" i="4"/>
  <c r="S79" i="4"/>
  <c r="AF78" i="4"/>
  <c r="AE78" i="4"/>
  <c r="AD78" i="4"/>
  <c r="AB78" i="4" s="1"/>
  <c r="Z78" i="4"/>
  <c r="Y78" i="4"/>
  <c r="X78" i="4"/>
  <c r="W78" i="4"/>
  <c r="U78" i="4"/>
  <c r="T78" i="4"/>
  <c r="S78" i="4"/>
  <c r="AF77" i="4"/>
  <c r="AE77" i="4"/>
  <c r="AD77" i="4"/>
  <c r="AB77" i="4" s="1"/>
  <c r="AC77" i="4"/>
  <c r="AA77" i="4"/>
  <c r="Z77" i="4"/>
  <c r="Y77" i="4"/>
  <c r="X77" i="4"/>
  <c r="W77" i="4"/>
  <c r="U77" i="4"/>
  <c r="T77" i="4"/>
  <c r="S77" i="4"/>
  <c r="AF76" i="4"/>
  <c r="AE76" i="4"/>
  <c r="AD76" i="4"/>
  <c r="AC76" i="4" s="1"/>
  <c r="AA76" i="4"/>
  <c r="Z76" i="4"/>
  <c r="Y76" i="4"/>
  <c r="X76" i="4"/>
  <c r="W76" i="4"/>
  <c r="U76" i="4"/>
  <c r="T76" i="4"/>
  <c r="S76" i="4"/>
  <c r="AF75" i="4"/>
  <c r="AE75" i="4"/>
  <c r="AD75" i="4"/>
  <c r="AC75" i="4"/>
  <c r="AB75" i="4"/>
  <c r="AA75" i="4"/>
  <c r="Z75" i="4"/>
  <c r="Y75" i="4"/>
  <c r="X75" i="4"/>
  <c r="W75" i="4"/>
  <c r="U75" i="4"/>
  <c r="T75" i="4"/>
  <c r="S75" i="4"/>
  <c r="AF74" i="4"/>
  <c r="AE74" i="4"/>
  <c r="AD74" i="4"/>
  <c r="AA74" i="4" s="1"/>
  <c r="AC74" i="4"/>
  <c r="AB74" i="4"/>
  <c r="Z74" i="4"/>
  <c r="Y74" i="4"/>
  <c r="X74" i="4"/>
  <c r="W74" i="4"/>
  <c r="U74" i="4"/>
  <c r="T74" i="4"/>
  <c r="S74" i="4"/>
  <c r="AF73" i="4"/>
  <c r="AE73" i="4"/>
  <c r="AD73" i="4"/>
  <c r="AC73" i="4" s="1"/>
  <c r="Z73" i="4"/>
  <c r="Y73" i="4"/>
  <c r="X73" i="4"/>
  <c r="W73" i="4"/>
  <c r="U73" i="4"/>
  <c r="T73" i="4"/>
  <c r="S73" i="4"/>
  <c r="AF72" i="4"/>
  <c r="AE72" i="4"/>
  <c r="AD72" i="4"/>
  <c r="AC72" i="4" s="1"/>
  <c r="AB72" i="4"/>
  <c r="Z72" i="4"/>
  <c r="Y72" i="4"/>
  <c r="X72" i="4"/>
  <c r="W72" i="4"/>
  <c r="U72" i="4"/>
  <c r="T72" i="4"/>
  <c r="S72" i="4"/>
  <c r="AF71" i="4"/>
  <c r="AE71" i="4"/>
  <c r="AD71" i="4"/>
  <c r="AC71" i="4"/>
  <c r="AB71" i="4"/>
  <c r="AA71" i="4"/>
  <c r="Z71" i="4"/>
  <c r="Y71" i="4"/>
  <c r="X71" i="4"/>
  <c r="W71" i="4"/>
  <c r="U71" i="4"/>
  <c r="T71" i="4"/>
  <c r="S71" i="4"/>
  <c r="AF70" i="4"/>
  <c r="AE70" i="4"/>
  <c r="AD70" i="4"/>
  <c r="AB70" i="4" s="1"/>
  <c r="Z70" i="4"/>
  <c r="Y70" i="4"/>
  <c r="X70" i="4"/>
  <c r="W70" i="4"/>
  <c r="U70" i="4"/>
  <c r="T70" i="4"/>
  <c r="S70" i="4"/>
  <c r="AF69" i="4"/>
  <c r="AE69" i="4"/>
  <c r="AD69" i="4"/>
  <c r="AB69" i="4" s="1"/>
  <c r="AC69" i="4"/>
  <c r="AA69" i="4"/>
  <c r="Z69" i="4"/>
  <c r="Y69" i="4"/>
  <c r="X69" i="4"/>
  <c r="W69" i="4"/>
  <c r="U69" i="4"/>
  <c r="T69" i="4"/>
  <c r="S69" i="4"/>
  <c r="AF68" i="4"/>
  <c r="AE68" i="4"/>
  <c r="AD68" i="4"/>
  <c r="AC68" i="4" s="1"/>
  <c r="AA68" i="4"/>
  <c r="Z68" i="4"/>
  <c r="Y68" i="4"/>
  <c r="X68" i="4"/>
  <c r="W68" i="4"/>
  <c r="U68" i="4"/>
  <c r="T68" i="4"/>
  <c r="S68" i="4"/>
  <c r="AF67" i="4"/>
  <c r="AE67" i="4"/>
  <c r="AD67" i="4"/>
  <c r="AC67" i="4"/>
  <c r="AB67" i="4"/>
  <c r="AA67" i="4"/>
  <c r="Z67" i="4"/>
  <c r="Y67" i="4"/>
  <c r="X67" i="4"/>
  <c r="W67" i="4"/>
  <c r="U67" i="4"/>
  <c r="T67" i="4"/>
  <c r="S67" i="4"/>
  <c r="AF66" i="4"/>
  <c r="AE66" i="4"/>
  <c r="AD66" i="4"/>
  <c r="AA66" i="4" s="1"/>
  <c r="AC66" i="4"/>
  <c r="AB66" i="4"/>
  <c r="Z66" i="4"/>
  <c r="Y66" i="4"/>
  <c r="X66" i="4"/>
  <c r="W66" i="4"/>
  <c r="U66" i="4"/>
  <c r="T66" i="4"/>
  <c r="S66" i="4"/>
  <c r="AF65" i="4"/>
  <c r="AE65" i="4"/>
  <c r="AD65" i="4"/>
  <c r="AC65" i="4" s="1"/>
  <c r="Z65" i="4"/>
  <c r="Y65" i="4"/>
  <c r="X65" i="4"/>
  <c r="W65" i="4"/>
  <c r="U65" i="4"/>
  <c r="T65" i="4"/>
  <c r="S65" i="4"/>
  <c r="AF64" i="4"/>
  <c r="AE64" i="4"/>
  <c r="AD64" i="4"/>
  <c r="AC64" i="4" s="1"/>
  <c r="AB64" i="4"/>
  <c r="Z64" i="4"/>
  <c r="Y64" i="4"/>
  <c r="X64" i="4"/>
  <c r="W64" i="4"/>
  <c r="U64" i="4"/>
  <c r="T64" i="4"/>
  <c r="S64" i="4"/>
  <c r="AF63" i="4"/>
  <c r="AE63" i="4"/>
  <c r="AD63" i="4"/>
  <c r="AC63" i="4"/>
  <c r="AB63" i="4"/>
  <c r="AA63" i="4"/>
  <c r="Z63" i="4"/>
  <c r="Y63" i="4"/>
  <c r="X63" i="4"/>
  <c r="W63" i="4"/>
  <c r="U63" i="4"/>
  <c r="T63" i="4"/>
  <c r="S63" i="4"/>
  <c r="AF62" i="4"/>
  <c r="AE62" i="4"/>
  <c r="AD62" i="4"/>
  <c r="AB62" i="4" s="1"/>
  <c r="Z62" i="4"/>
  <c r="Y62" i="4"/>
  <c r="X62" i="4"/>
  <c r="W62" i="4"/>
  <c r="U62" i="4"/>
  <c r="T62" i="4"/>
  <c r="S62" i="4"/>
  <c r="AF61" i="4"/>
  <c r="AE61" i="4"/>
  <c r="AD61" i="4"/>
  <c r="AB61" i="4" s="1"/>
  <c r="AC61" i="4"/>
  <c r="AA61" i="4"/>
  <c r="Z61" i="4"/>
  <c r="Y61" i="4"/>
  <c r="X61" i="4"/>
  <c r="W61" i="4"/>
  <c r="U61" i="4"/>
  <c r="T61" i="4"/>
  <c r="S61" i="4"/>
  <c r="AF60" i="4"/>
  <c r="AE60" i="4"/>
  <c r="AD60" i="4"/>
  <c r="AC60" i="4" s="1"/>
  <c r="AA60" i="4"/>
  <c r="Z60" i="4"/>
  <c r="Y60" i="4"/>
  <c r="X60" i="4"/>
  <c r="W60" i="4"/>
  <c r="U60" i="4"/>
  <c r="T60" i="4"/>
  <c r="S60" i="4"/>
  <c r="AF59" i="4"/>
  <c r="AE59" i="4"/>
  <c r="AD59" i="4"/>
  <c r="AC59" i="4"/>
  <c r="AB59" i="4"/>
  <c r="AA59" i="4"/>
  <c r="Z59" i="4"/>
  <c r="Y59" i="4"/>
  <c r="X59" i="4"/>
  <c r="W59" i="4"/>
  <c r="U59" i="4"/>
  <c r="T59" i="4"/>
  <c r="S59" i="4"/>
  <c r="AF58" i="4"/>
  <c r="AE58" i="4"/>
  <c r="AD58" i="4"/>
  <c r="AA58" i="4" s="1"/>
  <c r="AC58" i="4"/>
  <c r="AB58" i="4"/>
  <c r="Z58" i="4"/>
  <c r="Y58" i="4"/>
  <c r="X58" i="4"/>
  <c r="W58" i="4"/>
  <c r="U58" i="4"/>
  <c r="T58" i="4"/>
  <c r="S58" i="4"/>
  <c r="AF57" i="4"/>
  <c r="AE57" i="4"/>
  <c r="AD57" i="4"/>
  <c r="AC57" i="4" s="1"/>
  <c r="Z57" i="4"/>
  <c r="Y57" i="4"/>
  <c r="X57" i="4"/>
  <c r="W57" i="4"/>
  <c r="U57" i="4"/>
  <c r="T57" i="4"/>
  <c r="S57" i="4"/>
  <c r="AF56" i="4"/>
  <c r="AE56" i="4"/>
  <c r="AD56" i="4"/>
  <c r="AC56" i="4" s="1"/>
  <c r="AB56" i="4"/>
  <c r="Z56" i="4"/>
  <c r="Y56" i="4"/>
  <c r="X56" i="4"/>
  <c r="W56" i="4"/>
  <c r="U56" i="4"/>
  <c r="T56" i="4"/>
  <c r="S56" i="4"/>
  <c r="AF55" i="4"/>
  <c r="AE55" i="4"/>
  <c r="AD55" i="4"/>
  <c r="AC55" i="4"/>
  <c r="AB55" i="4"/>
  <c r="AA55" i="4"/>
  <c r="Z55" i="4"/>
  <c r="Y55" i="4"/>
  <c r="X55" i="4"/>
  <c r="W55" i="4"/>
  <c r="U55" i="4"/>
  <c r="T55" i="4"/>
  <c r="S55" i="4"/>
  <c r="AF54" i="4"/>
  <c r="AE54" i="4"/>
  <c r="AD54" i="4"/>
  <c r="AB54" i="4" s="1"/>
  <c r="Z54" i="4"/>
  <c r="Y54" i="4"/>
  <c r="X54" i="4"/>
  <c r="W54" i="4"/>
  <c r="U54" i="4"/>
  <c r="T54" i="4"/>
  <c r="S54" i="4"/>
  <c r="AF53" i="4"/>
  <c r="AE53" i="4"/>
  <c r="AD53" i="4"/>
  <c r="AB53" i="4" s="1"/>
  <c r="AC53" i="4"/>
  <c r="AA53" i="4"/>
  <c r="Z53" i="4"/>
  <c r="Y53" i="4"/>
  <c r="X53" i="4"/>
  <c r="W53" i="4"/>
  <c r="U53" i="4"/>
  <c r="T53" i="4"/>
  <c r="S53" i="4"/>
  <c r="AF52" i="4"/>
  <c r="AE52" i="4"/>
  <c r="AD52" i="4"/>
  <c r="AC52" i="4" s="1"/>
  <c r="AA52" i="4"/>
  <c r="Z52" i="4"/>
  <c r="Y52" i="4"/>
  <c r="X52" i="4"/>
  <c r="W52" i="4"/>
  <c r="U52" i="4"/>
  <c r="T52" i="4"/>
  <c r="S52" i="4"/>
  <c r="AF51" i="4"/>
  <c r="AE51" i="4"/>
  <c r="AD51" i="4"/>
  <c r="AC51" i="4"/>
  <c r="AB51" i="4"/>
  <c r="AA51" i="4"/>
  <c r="Z51" i="4"/>
  <c r="Y51" i="4"/>
  <c r="X51" i="4"/>
  <c r="W51" i="4"/>
  <c r="U51" i="4"/>
  <c r="T51" i="4"/>
  <c r="S51" i="4"/>
  <c r="AF50" i="4"/>
  <c r="AE50" i="4"/>
  <c r="AD50" i="4"/>
  <c r="AA50" i="4" s="1"/>
  <c r="AC50" i="4"/>
  <c r="AB50" i="4"/>
  <c r="Z50" i="4"/>
  <c r="Y50" i="4"/>
  <c r="X50" i="4"/>
  <c r="W50" i="4"/>
  <c r="U50" i="4"/>
  <c r="T50" i="4"/>
  <c r="S50" i="4"/>
  <c r="AF49" i="4"/>
  <c r="AE49" i="4"/>
  <c r="AD49" i="4"/>
  <c r="AC49" i="4" s="1"/>
  <c r="Z49" i="4"/>
  <c r="Y49" i="4"/>
  <c r="X49" i="4"/>
  <c r="W49" i="4"/>
  <c r="U49" i="4"/>
  <c r="T49" i="4"/>
  <c r="S49" i="4"/>
  <c r="AF48" i="4"/>
  <c r="AE48" i="4"/>
  <c r="AD48" i="4"/>
  <c r="AC48" i="4" s="1"/>
  <c r="AB48" i="4"/>
  <c r="Z48" i="4"/>
  <c r="Y48" i="4"/>
  <c r="X48" i="4"/>
  <c r="W48" i="4"/>
  <c r="U48" i="4"/>
  <c r="T48" i="4"/>
  <c r="S48" i="4"/>
  <c r="AF47" i="4"/>
  <c r="AE47" i="4"/>
  <c r="AD47" i="4"/>
  <c r="AC47" i="4"/>
  <c r="AB47" i="4"/>
  <c r="AA47" i="4"/>
  <c r="Z47" i="4"/>
  <c r="Y47" i="4"/>
  <c r="X47" i="4"/>
  <c r="W47" i="4"/>
  <c r="U47" i="4"/>
  <c r="T47" i="4"/>
  <c r="S47" i="4"/>
  <c r="AF46" i="4"/>
  <c r="AE46" i="4"/>
  <c r="AD46" i="4"/>
  <c r="AB46" i="4" s="1"/>
  <c r="Z46" i="4"/>
  <c r="Y46" i="4"/>
  <c r="X46" i="4"/>
  <c r="W46" i="4"/>
  <c r="U46" i="4"/>
  <c r="T46" i="4"/>
  <c r="S46" i="4"/>
  <c r="AF45" i="4"/>
  <c r="AE45" i="4"/>
  <c r="AD45" i="4"/>
  <c r="AB45" i="4" s="1"/>
  <c r="AC45" i="4"/>
  <c r="AA45" i="4"/>
  <c r="Z45" i="4"/>
  <c r="Y45" i="4"/>
  <c r="X45" i="4"/>
  <c r="W45" i="4"/>
  <c r="U45" i="4"/>
  <c r="T45" i="4"/>
  <c r="S45" i="4"/>
  <c r="AF44" i="4"/>
  <c r="AE44" i="4"/>
  <c r="AD44" i="4"/>
  <c r="AC44" i="4" s="1"/>
  <c r="AA44" i="4"/>
  <c r="Z44" i="4"/>
  <c r="Y44" i="4"/>
  <c r="X44" i="4"/>
  <c r="W44" i="4"/>
  <c r="U44" i="4"/>
  <c r="T44" i="4"/>
  <c r="S44" i="4"/>
  <c r="AF43" i="4"/>
  <c r="AE43" i="4"/>
  <c r="AD43" i="4"/>
  <c r="AC43" i="4"/>
  <c r="AB43" i="4"/>
  <c r="AA43" i="4"/>
  <c r="Z43" i="4"/>
  <c r="Y43" i="4"/>
  <c r="X43" i="4"/>
  <c r="W43" i="4"/>
  <c r="U43" i="4"/>
  <c r="T43" i="4"/>
  <c r="S43" i="4"/>
  <c r="AF42" i="4"/>
  <c r="AE42" i="4"/>
  <c r="AD42" i="4"/>
  <c r="AA42" i="4" s="1"/>
  <c r="AC42" i="4"/>
  <c r="AB42" i="4"/>
  <c r="Z42" i="4"/>
  <c r="Y42" i="4"/>
  <c r="X42" i="4"/>
  <c r="W42" i="4"/>
  <c r="U42" i="4"/>
  <c r="T42" i="4"/>
  <c r="S42" i="4"/>
  <c r="AF41" i="4"/>
  <c r="AE41" i="4"/>
  <c r="AD41" i="4"/>
  <c r="AC41" i="4" s="1"/>
  <c r="Z41" i="4"/>
  <c r="Y41" i="4"/>
  <c r="X41" i="4"/>
  <c r="W41" i="4"/>
  <c r="U41" i="4"/>
  <c r="T41" i="4"/>
  <c r="S41" i="4"/>
  <c r="AF40" i="4"/>
  <c r="AE40" i="4"/>
  <c r="AD40" i="4"/>
  <c r="AC40" i="4" s="1"/>
  <c r="AB40" i="4"/>
  <c r="AA40" i="4"/>
  <c r="Z40" i="4"/>
  <c r="Y40" i="4"/>
  <c r="X40" i="4"/>
  <c r="W40" i="4"/>
  <c r="U40" i="4"/>
  <c r="T40" i="4"/>
  <c r="S40" i="4"/>
  <c r="AF39" i="4"/>
  <c r="AE39" i="4"/>
  <c r="AD39" i="4"/>
  <c r="AC39" i="4"/>
  <c r="AB39" i="4"/>
  <c r="AA39" i="4"/>
  <c r="Z39" i="4"/>
  <c r="Y39" i="4"/>
  <c r="X39" i="4"/>
  <c r="W39" i="4"/>
  <c r="U39" i="4"/>
  <c r="T39" i="4"/>
  <c r="S39" i="4"/>
  <c r="AF38" i="4"/>
  <c r="AE38" i="4"/>
  <c r="AD38" i="4"/>
  <c r="AB38" i="4" s="1"/>
  <c r="Z38" i="4"/>
  <c r="Y38" i="4"/>
  <c r="X38" i="4"/>
  <c r="W38" i="4"/>
  <c r="U38" i="4"/>
  <c r="T38" i="4"/>
  <c r="S38" i="4"/>
  <c r="AF37" i="4"/>
  <c r="AE37" i="4"/>
  <c r="AD37" i="4"/>
  <c r="AB37" i="4" s="1"/>
  <c r="AC37" i="4"/>
  <c r="AA37" i="4"/>
  <c r="Z37" i="4"/>
  <c r="Y37" i="4"/>
  <c r="X37" i="4"/>
  <c r="W37" i="4"/>
  <c r="U37" i="4"/>
  <c r="T37" i="4"/>
  <c r="S37" i="4"/>
  <c r="AF36" i="4"/>
  <c r="AE36" i="4"/>
  <c r="AD36" i="4"/>
  <c r="AC36" i="4" s="1"/>
  <c r="Z36" i="4"/>
  <c r="Y36" i="4"/>
  <c r="X36" i="4"/>
  <c r="W36" i="4"/>
  <c r="U36" i="4"/>
  <c r="T36" i="4"/>
  <c r="S36" i="4"/>
  <c r="AF35" i="4"/>
  <c r="AE35" i="4"/>
  <c r="AD35" i="4"/>
  <c r="AC35" i="4"/>
  <c r="AB35" i="4"/>
  <c r="AA35" i="4"/>
  <c r="Z35" i="4"/>
  <c r="Y35" i="4"/>
  <c r="X35" i="4"/>
  <c r="W35" i="4"/>
  <c r="U35" i="4"/>
  <c r="T35" i="4"/>
  <c r="S35" i="4"/>
  <c r="AF34" i="4"/>
  <c r="AE34" i="4"/>
  <c r="AD34" i="4"/>
  <c r="AA34" i="4" s="1"/>
  <c r="AC34" i="4"/>
  <c r="AB34" i="4"/>
  <c r="Z34" i="4"/>
  <c r="Y34" i="4"/>
  <c r="X34" i="4"/>
  <c r="W34" i="4"/>
  <c r="U34" i="4"/>
  <c r="T34" i="4"/>
  <c r="S34" i="4"/>
  <c r="AF33" i="4"/>
  <c r="AE33" i="4"/>
  <c r="AD33" i="4"/>
  <c r="AC33" i="4" s="1"/>
  <c r="Z33" i="4"/>
  <c r="Y33" i="4"/>
  <c r="X33" i="4"/>
  <c r="W33" i="4"/>
  <c r="U33" i="4"/>
  <c r="T33" i="4"/>
  <c r="S33" i="4"/>
  <c r="AF32" i="4"/>
  <c r="AE32" i="4"/>
  <c r="AD32" i="4"/>
  <c r="AC32" i="4" s="1"/>
  <c r="AB32" i="4"/>
  <c r="AA32" i="4"/>
  <c r="Z32" i="4"/>
  <c r="Y32" i="4"/>
  <c r="X32" i="4"/>
  <c r="W32" i="4"/>
  <c r="U32" i="4"/>
  <c r="T32" i="4"/>
  <c r="S32" i="4"/>
  <c r="AF31" i="4"/>
  <c r="AE31" i="4"/>
  <c r="AD31" i="4"/>
  <c r="AC31" i="4"/>
  <c r="AB31" i="4"/>
  <c r="AA31" i="4"/>
  <c r="Z31" i="4"/>
  <c r="Y31" i="4"/>
  <c r="X31" i="4"/>
  <c r="W31" i="4"/>
  <c r="U31" i="4"/>
  <c r="T31" i="4"/>
  <c r="S31" i="4"/>
  <c r="AF30" i="4"/>
  <c r="AE30" i="4"/>
  <c r="AD30" i="4"/>
  <c r="AB30" i="4" s="1"/>
  <c r="Z30" i="4"/>
  <c r="Y30" i="4"/>
  <c r="X30" i="4"/>
  <c r="W30" i="4"/>
  <c r="U30" i="4"/>
  <c r="C5" i="4" s="1"/>
  <c r="T30" i="4"/>
  <c r="S30" i="4"/>
  <c r="AF29" i="4"/>
  <c r="AE29" i="4"/>
  <c r="AD29" i="4"/>
  <c r="AB29" i="4" s="1"/>
  <c r="AC29" i="4"/>
  <c r="AA29" i="4"/>
  <c r="Z29" i="4"/>
  <c r="Y29" i="4"/>
  <c r="X29" i="4"/>
  <c r="W29" i="4"/>
  <c r="U29" i="4"/>
  <c r="T29" i="4"/>
  <c r="S29" i="4"/>
  <c r="AF28" i="4"/>
  <c r="AE28" i="4"/>
  <c r="AD28" i="4"/>
  <c r="AC28" i="4" s="1"/>
  <c r="Z28" i="4"/>
  <c r="Y28" i="4"/>
  <c r="X28" i="4"/>
  <c r="W28" i="4"/>
  <c r="U28" i="4"/>
  <c r="T28" i="4"/>
  <c r="S28" i="4"/>
  <c r="AF27" i="4"/>
  <c r="AE27" i="4"/>
  <c r="AD27" i="4"/>
  <c r="AC27" i="4"/>
  <c r="AB27" i="4"/>
  <c r="AA27" i="4"/>
  <c r="Z27" i="4"/>
  <c r="Y27" i="4"/>
  <c r="X27" i="4"/>
  <c r="W27" i="4"/>
  <c r="U27" i="4"/>
  <c r="T27" i="4"/>
  <c r="S27" i="4"/>
  <c r="AF26" i="4"/>
  <c r="AE26" i="4"/>
  <c r="AD26" i="4"/>
  <c r="AA26" i="4" s="1"/>
  <c r="AC26" i="4"/>
  <c r="AB26" i="4"/>
  <c r="Z26" i="4"/>
  <c r="Y26" i="4"/>
  <c r="X26" i="4"/>
  <c r="W26" i="4"/>
  <c r="U26" i="4"/>
  <c r="T26" i="4"/>
  <c r="S26" i="4"/>
  <c r="AF25" i="4"/>
  <c r="AE25" i="4"/>
  <c r="AD25" i="4"/>
  <c r="AC25" i="4" s="1"/>
  <c r="Z25" i="4"/>
  <c r="Y25" i="4"/>
  <c r="X25" i="4"/>
  <c r="W25" i="4"/>
  <c r="U25" i="4"/>
  <c r="T25" i="4"/>
  <c r="S25" i="4"/>
  <c r="AF24" i="4"/>
  <c r="AE24" i="4"/>
  <c r="AD24" i="4"/>
  <c r="AC24" i="4" s="1"/>
  <c r="AB24" i="4"/>
  <c r="AA24" i="4"/>
  <c r="Z24" i="4"/>
  <c r="Y24" i="4"/>
  <c r="X24" i="4"/>
  <c r="W24" i="4"/>
  <c r="U24" i="4"/>
  <c r="T24" i="4"/>
  <c r="S24" i="4"/>
  <c r="AF23" i="4"/>
  <c r="AE23" i="4"/>
  <c r="AD23" i="4"/>
  <c r="AC23" i="4"/>
  <c r="AB23" i="4"/>
  <c r="AA23" i="4"/>
  <c r="Z23" i="4"/>
  <c r="Y23" i="4"/>
  <c r="X23" i="4"/>
  <c r="W23" i="4"/>
  <c r="U23" i="4"/>
  <c r="T23" i="4"/>
  <c r="S23" i="4"/>
  <c r="AF22" i="4"/>
  <c r="AF21" i="4"/>
  <c r="AF20" i="4"/>
  <c r="AF19" i="4"/>
  <c r="AF18" i="4"/>
  <c r="AF17" i="4"/>
  <c r="AF16" i="4"/>
  <c r="C12" i="4"/>
  <c r="C10" i="4"/>
  <c r="C7" i="4"/>
  <c r="C3" i="4"/>
  <c r="C2" i="4"/>
  <c r="C1" i="4"/>
  <c r="C11" i="3"/>
  <c r="AF170" i="3"/>
  <c r="AE170" i="3"/>
  <c r="AD170" i="3"/>
  <c r="AC170" i="3" s="1"/>
  <c r="AB170" i="3"/>
  <c r="Z170" i="3"/>
  <c r="Y170" i="3"/>
  <c r="X170" i="3"/>
  <c r="W170" i="3"/>
  <c r="U170" i="3"/>
  <c r="T170" i="3"/>
  <c r="S170" i="3"/>
  <c r="AF169" i="3"/>
  <c r="AE169" i="3"/>
  <c r="AD169" i="3"/>
  <c r="AC169" i="3" s="1"/>
  <c r="Z169" i="3"/>
  <c r="Y169" i="3"/>
  <c r="X169" i="3"/>
  <c r="W169" i="3"/>
  <c r="U169" i="3"/>
  <c r="T169" i="3"/>
  <c r="S169" i="3"/>
  <c r="AF168" i="3"/>
  <c r="AE168" i="3"/>
  <c r="AD168" i="3"/>
  <c r="AC168" i="3" s="1"/>
  <c r="AB168" i="3"/>
  <c r="AA168" i="3"/>
  <c r="Z168" i="3"/>
  <c r="Y168" i="3"/>
  <c r="X168" i="3"/>
  <c r="W168" i="3"/>
  <c r="U168" i="3"/>
  <c r="T168" i="3"/>
  <c r="S168" i="3"/>
  <c r="AF167" i="3"/>
  <c r="AE167" i="3"/>
  <c r="AD167" i="3"/>
  <c r="AC167" i="3" s="1"/>
  <c r="AA167" i="3"/>
  <c r="Z167" i="3"/>
  <c r="Y167" i="3"/>
  <c r="X167" i="3"/>
  <c r="W167" i="3"/>
  <c r="U167" i="3"/>
  <c r="T167" i="3"/>
  <c r="S167" i="3"/>
  <c r="AF166" i="3"/>
  <c r="AE166" i="3"/>
  <c r="AD166" i="3"/>
  <c r="AB166" i="3" s="1"/>
  <c r="AC166" i="3"/>
  <c r="Z166" i="3"/>
  <c r="Y166" i="3"/>
  <c r="X166" i="3"/>
  <c r="W166" i="3"/>
  <c r="U166" i="3"/>
  <c r="T166" i="3"/>
  <c r="S166" i="3"/>
  <c r="AF165" i="3"/>
  <c r="AE165" i="3"/>
  <c r="AD165" i="3"/>
  <c r="AB165" i="3" s="1"/>
  <c r="AC165" i="3"/>
  <c r="AA165" i="3"/>
  <c r="Z165" i="3"/>
  <c r="Y165" i="3"/>
  <c r="X165" i="3"/>
  <c r="W165" i="3"/>
  <c r="U165" i="3"/>
  <c r="T165" i="3"/>
  <c r="S165" i="3"/>
  <c r="AF164" i="3"/>
  <c r="AE164" i="3"/>
  <c r="AD164" i="3"/>
  <c r="AC164" i="3" s="1"/>
  <c r="Z164" i="3"/>
  <c r="Y164" i="3"/>
  <c r="X164" i="3"/>
  <c r="W164" i="3"/>
  <c r="U164" i="3"/>
  <c r="T164" i="3"/>
  <c r="S164" i="3"/>
  <c r="AF163" i="3"/>
  <c r="AE163" i="3"/>
  <c r="AD163" i="3"/>
  <c r="AC163" i="3"/>
  <c r="AB163" i="3"/>
  <c r="AA163" i="3"/>
  <c r="Z163" i="3"/>
  <c r="Y163" i="3"/>
  <c r="X163" i="3"/>
  <c r="W163" i="3"/>
  <c r="U163" i="3"/>
  <c r="T163" i="3"/>
  <c r="S163" i="3"/>
  <c r="AF162" i="3"/>
  <c r="AE162" i="3"/>
  <c r="AD162" i="3"/>
  <c r="AC162" i="3" s="1"/>
  <c r="AB162" i="3"/>
  <c r="Z162" i="3"/>
  <c r="Y162" i="3"/>
  <c r="X162" i="3"/>
  <c r="W162" i="3"/>
  <c r="U162" i="3"/>
  <c r="T162" i="3"/>
  <c r="S162" i="3"/>
  <c r="AF161" i="3"/>
  <c r="AE161" i="3"/>
  <c r="AD161" i="3"/>
  <c r="AC161" i="3" s="1"/>
  <c r="Z161" i="3"/>
  <c r="Y161" i="3"/>
  <c r="X161" i="3"/>
  <c r="W161" i="3"/>
  <c r="U161" i="3"/>
  <c r="T161" i="3"/>
  <c r="S161" i="3"/>
  <c r="AF160" i="3"/>
  <c r="AE160" i="3"/>
  <c r="AD160" i="3"/>
  <c r="AC160" i="3" s="1"/>
  <c r="AB160" i="3"/>
  <c r="AA160" i="3"/>
  <c r="Z160" i="3"/>
  <c r="Y160" i="3"/>
  <c r="X160" i="3"/>
  <c r="W160" i="3"/>
  <c r="U160" i="3"/>
  <c r="T160" i="3"/>
  <c r="S160" i="3"/>
  <c r="AF159" i="3"/>
  <c r="AE159" i="3"/>
  <c r="AD159" i="3"/>
  <c r="AC159" i="3" s="1"/>
  <c r="AA159" i="3"/>
  <c r="Z159" i="3"/>
  <c r="Y159" i="3"/>
  <c r="X159" i="3"/>
  <c r="W159" i="3"/>
  <c r="U159" i="3"/>
  <c r="T159" i="3"/>
  <c r="S159" i="3"/>
  <c r="AF158" i="3"/>
  <c r="AE158" i="3"/>
  <c r="AD158" i="3"/>
  <c r="AB158" i="3" s="1"/>
  <c r="AC158" i="3"/>
  <c r="Z158" i="3"/>
  <c r="Y158" i="3"/>
  <c r="X158" i="3"/>
  <c r="W158" i="3"/>
  <c r="U158" i="3"/>
  <c r="T158" i="3"/>
  <c r="S158" i="3"/>
  <c r="AF157" i="3"/>
  <c r="AE157" i="3"/>
  <c r="AD157" i="3"/>
  <c r="AB157" i="3" s="1"/>
  <c r="AC157" i="3"/>
  <c r="AA157" i="3"/>
  <c r="Z157" i="3"/>
  <c r="Y157" i="3"/>
  <c r="X157" i="3"/>
  <c r="W157" i="3"/>
  <c r="U157" i="3"/>
  <c r="T157" i="3"/>
  <c r="S157" i="3"/>
  <c r="AF156" i="3"/>
  <c r="AE156" i="3"/>
  <c r="AD156" i="3"/>
  <c r="AC156" i="3" s="1"/>
  <c r="Z156" i="3"/>
  <c r="Y156" i="3"/>
  <c r="X156" i="3"/>
  <c r="W156" i="3"/>
  <c r="U156" i="3"/>
  <c r="T156" i="3"/>
  <c r="S156" i="3"/>
  <c r="AF155" i="3"/>
  <c r="AE155" i="3"/>
  <c r="AD155" i="3"/>
  <c r="AC155" i="3"/>
  <c r="AB155" i="3"/>
  <c r="AA155" i="3"/>
  <c r="Z155" i="3"/>
  <c r="Y155" i="3"/>
  <c r="X155" i="3"/>
  <c r="W155" i="3"/>
  <c r="U155" i="3"/>
  <c r="T155" i="3"/>
  <c r="S155" i="3"/>
  <c r="AF154" i="3"/>
  <c r="AE154" i="3"/>
  <c r="AD154" i="3"/>
  <c r="AC154" i="3"/>
  <c r="AB154" i="3"/>
  <c r="AA154" i="3"/>
  <c r="Z154" i="3"/>
  <c r="Y154" i="3"/>
  <c r="X154" i="3"/>
  <c r="W154" i="3"/>
  <c r="U154" i="3"/>
  <c r="T154" i="3"/>
  <c r="S154" i="3"/>
  <c r="AF153" i="3"/>
  <c r="AE153" i="3"/>
  <c r="AD153" i="3"/>
  <c r="AC153" i="3" s="1"/>
  <c r="Z153" i="3"/>
  <c r="Y153" i="3"/>
  <c r="X153" i="3"/>
  <c r="W153" i="3"/>
  <c r="U153" i="3"/>
  <c r="T153" i="3"/>
  <c r="S153" i="3"/>
  <c r="AF152" i="3"/>
  <c r="AE152" i="3"/>
  <c r="AD152" i="3"/>
  <c r="AC152" i="3" s="1"/>
  <c r="AB152" i="3"/>
  <c r="AA152" i="3"/>
  <c r="Z152" i="3"/>
  <c r="Y152" i="3"/>
  <c r="X152" i="3"/>
  <c r="W152" i="3"/>
  <c r="U152" i="3"/>
  <c r="T152" i="3"/>
  <c r="S152" i="3"/>
  <c r="AF151" i="3"/>
  <c r="AE151" i="3"/>
  <c r="AD151" i="3"/>
  <c r="AC151" i="3" s="1"/>
  <c r="AB151" i="3"/>
  <c r="AA151" i="3"/>
  <c r="Z151" i="3"/>
  <c r="Y151" i="3"/>
  <c r="X151" i="3"/>
  <c r="W151" i="3"/>
  <c r="U151" i="3"/>
  <c r="T151" i="3"/>
  <c r="S151" i="3"/>
  <c r="AF150" i="3"/>
  <c r="AE150" i="3"/>
  <c r="AD150" i="3"/>
  <c r="AB150" i="3" s="1"/>
  <c r="AC150" i="3"/>
  <c r="Z150" i="3"/>
  <c r="Y150" i="3"/>
  <c r="X150" i="3"/>
  <c r="W150" i="3"/>
  <c r="U150" i="3"/>
  <c r="T150" i="3"/>
  <c r="S150" i="3"/>
  <c r="AF149" i="3"/>
  <c r="AE149" i="3"/>
  <c r="AD149" i="3"/>
  <c r="AB149" i="3" s="1"/>
  <c r="AC149" i="3"/>
  <c r="AA149" i="3"/>
  <c r="Z149" i="3"/>
  <c r="Y149" i="3"/>
  <c r="X149" i="3"/>
  <c r="W149" i="3"/>
  <c r="U149" i="3"/>
  <c r="T149" i="3"/>
  <c r="S149" i="3"/>
  <c r="AF148" i="3"/>
  <c r="AE148" i="3"/>
  <c r="AD148" i="3"/>
  <c r="AC148" i="3" s="1"/>
  <c r="Z148" i="3"/>
  <c r="Y148" i="3"/>
  <c r="X148" i="3"/>
  <c r="W148" i="3"/>
  <c r="U148" i="3"/>
  <c r="T148" i="3"/>
  <c r="S148" i="3"/>
  <c r="AF147" i="3"/>
  <c r="AE147" i="3"/>
  <c r="AD147" i="3"/>
  <c r="AC147" i="3"/>
  <c r="AB147" i="3"/>
  <c r="AA147" i="3"/>
  <c r="Z147" i="3"/>
  <c r="Y147" i="3"/>
  <c r="X147" i="3"/>
  <c r="W147" i="3"/>
  <c r="U147" i="3"/>
  <c r="T147" i="3"/>
  <c r="S147" i="3"/>
  <c r="AF146" i="3"/>
  <c r="AE146" i="3"/>
  <c r="AD146" i="3"/>
  <c r="AC146" i="3"/>
  <c r="AB146" i="3"/>
  <c r="AA146" i="3"/>
  <c r="Z146" i="3"/>
  <c r="Y146" i="3"/>
  <c r="X146" i="3"/>
  <c r="W146" i="3"/>
  <c r="U146" i="3"/>
  <c r="T146" i="3"/>
  <c r="S146" i="3"/>
  <c r="AF145" i="3"/>
  <c r="AE145" i="3"/>
  <c r="AD145" i="3"/>
  <c r="AC145" i="3" s="1"/>
  <c r="Z145" i="3"/>
  <c r="Y145" i="3"/>
  <c r="X145" i="3"/>
  <c r="W145" i="3"/>
  <c r="U145" i="3"/>
  <c r="T145" i="3"/>
  <c r="S145" i="3"/>
  <c r="AF144" i="3"/>
  <c r="AE144" i="3"/>
  <c r="AD144" i="3"/>
  <c r="AC144" i="3" s="1"/>
  <c r="AB144" i="3"/>
  <c r="AA144" i="3"/>
  <c r="Z144" i="3"/>
  <c r="Y144" i="3"/>
  <c r="X144" i="3"/>
  <c r="W144" i="3"/>
  <c r="U144" i="3"/>
  <c r="T144" i="3"/>
  <c r="S144" i="3"/>
  <c r="AF143" i="3"/>
  <c r="AE143" i="3"/>
  <c r="AD143" i="3"/>
  <c r="AC143" i="3"/>
  <c r="AB143" i="3"/>
  <c r="AA143" i="3"/>
  <c r="Z143" i="3"/>
  <c r="Y143" i="3"/>
  <c r="X143" i="3"/>
  <c r="W143" i="3"/>
  <c r="U143" i="3"/>
  <c r="T143" i="3"/>
  <c r="S143" i="3"/>
  <c r="AF142" i="3"/>
  <c r="AE142" i="3"/>
  <c r="AD142" i="3"/>
  <c r="AB142" i="3" s="1"/>
  <c r="AC142" i="3"/>
  <c r="Z142" i="3"/>
  <c r="Y142" i="3"/>
  <c r="X142" i="3"/>
  <c r="W142" i="3"/>
  <c r="U142" i="3"/>
  <c r="T142" i="3"/>
  <c r="S142" i="3"/>
  <c r="AF141" i="3"/>
  <c r="AE141" i="3"/>
  <c r="AD141" i="3"/>
  <c r="AB141" i="3" s="1"/>
  <c r="AC141" i="3"/>
  <c r="AA141" i="3"/>
  <c r="Z141" i="3"/>
  <c r="Y141" i="3"/>
  <c r="X141" i="3"/>
  <c r="W141" i="3"/>
  <c r="U141" i="3"/>
  <c r="T141" i="3"/>
  <c r="S141" i="3"/>
  <c r="AF140" i="3"/>
  <c r="AE140" i="3"/>
  <c r="AD140" i="3"/>
  <c r="AC140" i="3" s="1"/>
  <c r="Z140" i="3"/>
  <c r="Y140" i="3"/>
  <c r="X140" i="3"/>
  <c r="W140" i="3"/>
  <c r="U140" i="3"/>
  <c r="T140" i="3"/>
  <c r="S140" i="3"/>
  <c r="AF139" i="3"/>
  <c r="AE139" i="3"/>
  <c r="AD139" i="3"/>
  <c r="AC139" i="3"/>
  <c r="AB139" i="3"/>
  <c r="AA139" i="3"/>
  <c r="Z139" i="3"/>
  <c r="Y139" i="3"/>
  <c r="X139" i="3"/>
  <c r="W139" i="3"/>
  <c r="U139" i="3"/>
  <c r="T139" i="3"/>
  <c r="S139" i="3"/>
  <c r="AF138" i="3"/>
  <c r="AE138" i="3"/>
  <c r="AD138" i="3"/>
  <c r="AA138" i="3" s="1"/>
  <c r="AC138" i="3"/>
  <c r="AB138" i="3"/>
  <c r="Z138" i="3"/>
  <c r="Y138" i="3"/>
  <c r="X138" i="3"/>
  <c r="W138" i="3"/>
  <c r="U138" i="3"/>
  <c r="T138" i="3"/>
  <c r="S138" i="3"/>
  <c r="AF137" i="3"/>
  <c r="AE137" i="3"/>
  <c r="AD137" i="3"/>
  <c r="AC137" i="3" s="1"/>
  <c r="Z137" i="3"/>
  <c r="Y137" i="3"/>
  <c r="X137" i="3"/>
  <c r="W137" i="3"/>
  <c r="U137" i="3"/>
  <c r="T137" i="3"/>
  <c r="S137" i="3"/>
  <c r="AF136" i="3"/>
  <c r="AE136" i="3"/>
  <c r="AD136" i="3"/>
  <c r="AC136" i="3" s="1"/>
  <c r="AB136" i="3"/>
  <c r="AA136" i="3"/>
  <c r="Z136" i="3"/>
  <c r="Y136" i="3"/>
  <c r="X136" i="3"/>
  <c r="W136" i="3"/>
  <c r="U136" i="3"/>
  <c r="T136" i="3"/>
  <c r="S136" i="3"/>
  <c r="AF135" i="3"/>
  <c r="AE135" i="3"/>
  <c r="AD135" i="3"/>
  <c r="AC135" i="3"/>
  <c r="AB135" i="3"/>
  <c r="AA135" i="3"/>
  <c r="Z135" i="3"/>
  <c r="Y135" i="3"/>
  <c r="X135" i="3"/>
  <c r="W135" i="3"/>
  <c r="U135" i="3"/>
  <c r="T135" i="3"/>
  <c r="S135" i="3"/>
  <c r="AF134" i="3"/>
  <c r="AE134" i="3"/>
  <c r="AD134" i="3"/>
  <c r="AB134" i="3" s="1"/>
  <c r="AC134" i="3"/>
  <c r="Z134" i="3"/>
  <c r="Y134" i="3"/>
  <c r="X134" i="3"/>
  <c r="W134" i="3"/>
  <c r="U134" i="3"/>
  <c r="T134" i="3"/>
  <c r="S134" i="3"/>
  <c r="AF133" i="3"/>
  <c r="AE133" i="3"/>
  <c r="AD133" i="3"/>
  <c r="AB133" i="3" s="1"/>
  <c r="AC133" i="3"/>
  <c r="AA133" i="3"/>
  <c r="Z133" i="3"/>
  <c r="Y133" i="3"/>
  <c r="X133" i="3"/>
  <c r="W133" i="3"/>
  <c r="U133" i="3"/>
  <c r="T133" i="3"/>
  <c r="S133" i="3"/>
  <c r="AF132" i="3"/>
  <c r="AE132" i="3"/>
  <c r="AD132" i="3"/>
  <c r="AC132" i="3" s="1"/>
  <c r="Z132" i="3"/>
  <c r="Y132" i="3"/>
  <c r="X132" i="3"/>
  <c r="W132" i="3"/>
  <c r="U132" i="3"/>
  <c r="T132" i="3"/>
  <c r="S132" i="3"/>
  <c r="AF131" i="3"/>
  <c r="AE131" i="3"/>
  <c r="AD131" i="3"/>
  <c r="AC131" i="3"/>
  <c r="AB131" i="3"/>
  <c r="AA131" i="3"/>
  <c r="Z131" i="3"/>
  <c r="Y131" i="3"/>
  <c r="X131" i="3"/>
  <c r="W131" i="3"/>
  <c r="U131" i="3"/>
  <c r="T131" i="3"/>
  <c r="S131" i="3"/>
  <c r="AF130" i="3"/>
  <c r="AE130" i="3"/>
  <c r="AD130" i="3"/>
  <c r="AA130" i="3" s="1"/>
  <c r="AC130" i="3"/>
  <c r="AB130" i="3"/>
  <c r="Z130" i="3"/>
  <c r="Y130" i="3"/>
  <c r="X130" i="3"/>
  <c r="W130" i="3"/>
  <c r="U130" i="3"/>
  <c r="T130" i="3"/>
  <c r="S130" i="3"/>
  <c r="AF129" i="3"/>
  <c r="AE129" i="3"/>
  <c r="AD129" i="3"/>
  <c r="AC129" i="3" s="1"/>
  <c r="Z129" i="3"/>
  <c r="Y129" i="3"/>
  <c r="X129" i="3"/>
  <c r="W129" i="3"/>
  <c r="U129" i="3"/>
  <c r="T129" i="3"/>
  <c r="S129" i="3"/>
  <c r="AF128" i="3"/>
  <c r="AE128" i="3"/>
  <c r="AD128" i="3"/>
  <c r="AC128" i="3" s="1"/>
  <c r="AB128" i="3"/>
  <c r="AA128" i="3"/>
  <c r="Z128" i="3"/>
  <c r="Y128" i="3"/>
  <c r="X128" i="3"/>
  <c r="W128" i="3"/>
  <c r="U128" i="3"/>
  <c r="T128" i="3"/>
  <c r="S128" i="3"/>
  <c r="AF127" i="3"/>
  <c r="AE127" i="3"/>
  <c r="AD127" i="3"/>
  <c r="AC127" i="3"/>
  <c r="AB127" i="3"/>
  <c r="AA127" i="3"/>
  <c r="Z127" i="3"/>
  <c r="Y127" i="3"/>
  <c r="X127" i="3"/>
  <c r="W127" i="3"/>
  <c r="U127" i="3"/>
  <c r="T127" i="3"/>
  <c r="S127" i="3"/>
  <c r="AF126" i="3"/>
  <c r="AE126" i="3"/>
  <c r="AD126" i="3"/>
  <c r="AB126" i="3" s="1"/>
  <c r="AC126" i="3"/>
  <c r="Z126" i="3"/>
  <c r="Y126" i="3"/>
  <c r="X126" i="3"/>
  <c r="W126" i="3"/>
  <c r="U126" i="3"/>
  <c r="T126" i="3"/>
  <c r="S126" i="3"/>
  <c r="AF125" i="3"/>
  <c r="AE125" i="3"/>
  <c r="AD125" i="3"/>
  <c r="AB125" i="3" s="1"/>
  <c r="AC125" i="3"/>
  <c r="AA125" i="3"/>
  <c r="Z125" i="3"/>
  <c r="Y125" i="3"/>
  <c r="X125" i="3"/>
  <c r="W125" i="3"/>
  <c r="U125" i="3"/>
  <c r="T125" i="3"/>
  <c r="S125" i="3"/>
  <c r="AF124" i="3"/>
  <c r="AE124" i="3"/>
  <c r="AD124" i="3"/>
  <c r="AC124" i="3" s="1"/>
  <c r="Z124" i="3"/>
  <c r="Y124" i="3"/>
  <c r="X124" i="3"/>
  <c r="W124" i="3"/>
  <c r="U124" i="3"/>
  <c r="T124" i="3"/>
  <c r="S124" i="3"/>
  <c r="AF123" i="3"/>
  <c r="AE123" i="3"/>
  <c r="AD123" i="3"/>
  <c r="AC123" i="3"/>
  <c r="AB123" i="3"/>
  <c r="AA123" i="3"/>
  <c r="Z123" i="3"/>
  <c r="Y123" i="3"/>
  <c r="X123" i="3"/>
  <c r="W123" i="3"/>
  <c r="U123" i="3"/>
  <c r="T123" i="3"/>
  <c r="S123" i="3"/>
  <c r="AF122" i="3"/>
  <c r="AE122" i="3"/>
  <c r="AD122" i="3"/>
  <c r="AC122" i="3" s="1"/>
  <c r="AB122" i="3"/>
  <c r="Z122" i="3"/>
  <c r="Y122" i="3"/>
  <c r="X122" i="3"/>
  <c r="W122" i="3"/>
  <c r="U122" i="3"/>
  <c r="T122" i="3"/>
  <c r="S122" i="3"/>
  <c r="AF121" i="3"/>
  <c r="AE121" i="3"/>
  <c r="AD121" i="3"/>
  <c r="AC121" i="3" s="1"/>
  <c r="Z121" i="3"/>
  <c r="Y121" i="3"/>
  <c r="X121" i="3"/>
  <c r="W121" i="3"/>
  <c r="U121" i="3"/>
  <c r="T121" i="3"/>
  <c r="S121" i="3"/>
  <c r="AF120" i="3"/>
  <c r="AE120" i="3"/>
  <c r="AD120" i="3"/>
  <c r="AC120" i="3" s="1"/>
  <c r="AB120" i="3"/>
  <c r="AA120" i="3"/>
  <c r="Z120" i="3"/>
  <c r="Y120" i="3"/>
  <c r="X120" i="3"/>
  <c r="W120" i="3"/>
  <c r="U120" i="3"/>
  <c r="T120" i="3"/>
  <c r="S120" i="3"/>
  <c r="AF119" i="3"/>
  <c r="AE119" i="3"/>
  <c r="AD119" i="3"/>
  <c r="AC119" i="3"/>
  <c r="AB119" i="3"/>
  <c r="AA119" i="3"/>
  <c r="Z119" i="3"/>
  <c r="Y119" i="3"/>
  <c r="X119" i="3"/>
  <c r="W119" i="3"/>
  <c r="U119" i="3"/>
  <c r="T119" i="3"/>
  <c r="S119" i="3"/>
  <c r="AF118" i="3"/>
  <c r="AE118" i="3"/>
  <c r="AD118" i="3"/>
  <c r="AB118" i="3" s="1"/>
  <c r="AC118" i="3"/>
  <c r="Z118" i="3"/>
  <c r="Y118" i="3"/>
  <c r="X118" i="3"/>
  <c r="W118" i="3"/>
  <c r="U118" i="3"/>
  <c r="T118" i="3"/>
  <c r="S118" i="3"/>
  <c r="AF117" i="3"/>
  <c r="AE117" i="3"/>
  <c r="AD117" i="3"/>
  <c r="AC117" i="3"/>
  <c r="AB117" i="3"/>
  <c r="AA117" i="3"/>
  <c r="Z117" i="3"/>
  <c r="Y117" i="3"/>
  <c r="X117" i="3"/>
  <c r="W117" i="3"/>
  <c r="U117" i="3"/>
  <c r="T117" i="3"/>
  <c r="S117" i="3"/>
  <c r="AF116" i="3"/>
  <c r="AE116" i="3"/>
  <c r="AD116" i="3"/>
  <c r="AC116" i="3" s="1"/>
  <c r="Z116" i="3"/>
  <c r="Y116" i="3"/>
  <c r="X116" i="3"/>
  <c r="W116" i="3"/>
  <c r="U116" i="3"/>
  <c r="T116" i="3"/>
  <c r="S116" i="3"/>
  <c r="AF115" i="3"/>
  <c r="AE115" i="3"/>
  <c r="AD115" i="3"/>
  <c r="AC115" i="3"/>
  <c r="AB115" i="3"/>
  <c r="AA115" i="3"/>
  <c r="Z115" i="3"/>
  <c r="Y115" i="3"/>
  <c r="X115" i="3"/>
  <c r="W115" i="3"/>
  <c r="U115" i="3"/>
  <c r="T115" i="3"/>
  <c r="S115" i="3"/>
  <c r="AF114" i="3"/>
  <c r="AE114" i="3"/>
  <c r="AD114" i="3"/>
  <c r="AC114" i="3" s="1"/>
  <c r="AB114" i="3"/>
  <c r="Z114" i="3"/>
  <c r="Y114" i="3"/>
  <c r="X114" i="3"/>
  <c r="W114" i="3"/>
  <c r="U114" i="3"/>
  <c r="T114" i="3"/>
  <c r="S114" i="3"/>
  <c r="AF113" i="3"/>
  <c r="AE113" i="3"/>
  <c r="AD113" i="3"/>
  <c r="AC113" i="3" s="1"/>
  <c r="Z113" i="3"/>
  <c r="Y113" i="3"/>
  <c r="X113" i="3"/>
  <c r="W113" i="3"/>
  <c r="U113" i="3"/>
  <c r="T113" i="3"/>
  <c r="S113" i="3"/>
  <c r="AF112" i="3"/>
  <c r="AE112" i="3"/>
  <c r="AD112" i="3"/>
  <c r="AC112" i="3" s="1"/>
  <c r="AB112" i="3"/>
  <c r="AA112" i="3"/>
  <c r="Z112" i="3"/>
  <c r="Y112" i="3"/>
  <c r="X112" i="3"/>
  <c r="W112" i="3"/>
  <c r="U112" i="3"/>
  <c r="T112" i="3"/>
  <c r="S112" i="3"/>
  <c r="AF111" i="3"/>
  <c r="AE111" i="3"/>
  <c r="AD111" i="3"/>
  <c r="AC111" i="3"/>
  <c r="AB111" i="3"/>
  <c r="AA111" i="3"/>
  <c r="Z111" i="3"/>
  <c r="Y111" i="3"/>
  <c r="X111" i="3"/>
  <c r="W111" i="3"/>
  <c r="U111" i="3"/>
  <c r="T111" i="3"/>
  <c r="S111" i="3"/>
  <c r="AF110" i="3"/>
  <c r="AE110" i="3"/>
  <c r="AD110" i="3"/>
  <c r="AB110" i="3" s="1"/>
  <c r="AC110" i="3"/>
  <c r="Z110" i="3"/>
  <c r="Y110" i="3"/>
  <c r="X110" i="3"/>
  <c r="W110" i="3"/>
  <c r="U110" i="3"/>
  <c r="T110" i="3"/>
  <c r="S110" i="3"/>
  <c r="AF109" i="3"/>
  <c r="AE109" i="3"/>
  <c r="AD109" i="3"/>
  <c r="AC109" i="3"/>
  <c r="AB109" i="3"/>
  <c r="AA109" i="3"/>
  <c r="Z109" i="3"/>
  <c r="Y109" i="3"/>
  <c r="X109" i="3"/>
  <c r="W109" i="3"/>
  <c r="U109" i="3"/>
  <c r="T109" i="3"/>
  <c r="S109" i="3"/>
  <c r="AF108" i="3"/>
  <c r="AE108" i="3"/>
  <c r="AD108" i="3"/>
  <c r="AC108" i="3" s="1"/>
  <c r="Z108" i="3"/>
  <c r="Y108" i="3"/>
  <c r="X108" i="3"/>
  <c r="W108" i="3"/>
  <c r="U108" i="3"/>
  <c r="T108" i="3"/>
  <c r="S108" i="3"/>
  <c r="AF107" i="3"/>
  <c r="AE107" i="3"/>
  <c r="AD107" i="3"/>
  <c r="AC107" i="3"/>
  <c r="AB107" i="3"/>
  <c r="AA107" i="3"/>
  <c r="Z107" i="3"/>
  <c r="Y107" i="3"/>
  <c r="X107" i="3"/>
  <c r="W107" i="3"/>
  <c r="U107" i="3"/>
  <c r="T107" i="3"/>
  <c r="S107" i="3"/>
  <c r="AF106" i="3"/>
  <c r="AE106" i="3"/>
  <c r="AD106" i="3"/>
  <c r="AC106" i="3" s="1"/>
  <c r="AB106" i="3"/>
  <c r="Z106" i="3"/>
  <c r="Y106" i="3"/>
  <c r="X106" i="3"/>
  <c r="W106" i="3"/>
  <c r="U106" i="3"/>
  <c r="T106" i="3"/>
  <c r="S106" i="3"/>
  <c r="AF105" i="3"/>
  <c r="AE105" i="3"/>
  <c r="AD105" i="3"/>
  <c r="AC105" i="3" s="1"/>
  <c r="Z105" i="3"/>
  <c r="Y105" i="3"/>
  <c r="X105" i="3"/>
  <c r="W105" i="3"/>
  <c r="U105" i="3"/>
  <c r="T105" i="3"/>
  <c r="S105" i="3"/>
  <c r="AF104" i="3"/>
  <c r="AE104" i="3"/>
  <c r="AD104" i="3"/>
  <c r="AC104" i="3" s="1"/>
  <c r="AB104" i="3"/>
  <c r="AA104" i="3"/>
  <c r="Z104" i="3"/>
  <c r="Y104" i="3"/>
  <c r="X104" i="3"/>
  <c r="W104" i="3"/>
  <c r="U104" i="3"/>
  <c r="T104" i="3"/>
  <c r="S104" i="3"/>
  <c r="AF103" i="3"/>
  <c r="AE103" i="3"/>
  <c r="AD103" i="3"/>
  <c r="AC103" i="3"/>
  <c r="AB103" i="3"/>
  <c r="AA103" i="3"/>
  <c r="Z103" i="3"/>
  <c r="Y103" i="3"/>
  <c r="X103" i="3"/>
  <c r="W103" i="3"/>
  <c r="U103" i="3"/>
  <c r="T103" i="3"/>
  <c r="S103" i="3"/>
  <c r="AF102" i="3"/>
  <c r="AE102" i="3"/>
  <c r="AD102" i="3"/>
  <c r="AB102" i="3" s="1"/>
  <c r="AC102" i="3"/>
  <c r="Z102" i="3"/>
  <c r="Y102" i="3"/>
  <c r="X102" i="3"/>
  <c r="W102" i="3"/>
  <c r="U102" i="3"/>
  <c r="T102" i="3"/>
  <c r="S102" i="3"/>
  <c r="AF101" i="3"/>
  <c r="AE101" i="3"/>
  <c r="AD101" i="3"/>
  <c r="AC101" i="3"/>
  <c r="AB101" i="3"/>
  <c r="AA101" i="3"/>
  <c r="Z101" i="3"/>
  <c r="Y101" i="3"/>
  <c r="X101" i="3"/>
  <c r="W101" i="3"/>
  <c r="U101" i="3"/>
  <c r="T101" i="3"/>
  <c r="S101" i="3"/>
  <c r="AF100" i="3"/>
  <c r="AE100" i="3"/>
  <c r="AD100" i="3"/>
  <c r="AC100" i="3" s="1"/>
  <c r="Z100" i="3"/>
  <c r="Y100" i="3"/>
  <c r="X100" i="3"/>
  <c r="W100" i="3"/>
  <c r="U100" i="3"/>
  <c r="T100" i="3"/>
  <c r="S100" i="3"/>
  <c r="AF99" i="3"/>
  <c r="AE99" i="3"/>
  <c r="AD99" i="3"/>
  <c r="AC99" i="3"/>
  <c r="AB99" i="3"/>
  <c r="AA99" i="3"/>
  <c r="Z99" i="3"/>
  <c r="Y99" i="3"/>
  <c r="X99" i="3"/>
  <c r="W99" i="3"/>
  <c r="U99" i="3"/>
  <c r="T99" i="3"/>
  <c r="S99" i="3"/>
  <c r="AF98" i="3"/>
  <c r="AE98" i="3"/>
  <c r="AD98" i="3"/>
  <c r="AC98" i="3" s="1"/>
  <c r="AB98" i="3"/>
  <c r="Z98" i="3"/>
  <c r="Y98" i="3"/>
  <c r="X98" i="3"/>
  <c r="W98" i="3"/>
  <c r="U98" i="3"/>
  <c r="T98" i="3"/>
  <c r="S98" i="3"/>
  <c r="AF97" i="3"/>
  <c r="AE97" i="3"/>
  <c r="AD97" i="3"/>
  <c r="AC97" i="3" s="1"/>
  <c r="Z97" i="3"/>
  <c r="Y97" i="3"/>
  <c r="X97" i="3"/>
  <c r="W97" i="3"/>
  <c r="U97" i="3"/>
  <c r="T97" i="3"/>
  <c r="S97" i="3"/>
  <c r="AF96" i="3"/>
  <c r="AE96" i="3"/>
  <c r="AD96" i="3"/>
  <c r="AC96" i="3" s="1"/>
  <c r="AB96" i="3"/>
  <c r="AA96" i="3"/>
  <c r="Z96" i="3"/>
  <c r="Y96" i="3"/>
  <c r="X96" i="3"/>
  <c r="W96" i="3"/>
  <c r="U96" i="3"/>
  <c r="T96" i="3"/>
  <c r="S96" i="3"/>
  <c r="AF95" i="3"/>
  <c r="AE95" i="3"/>
  <c r="AD95" i="3"/>
  <c r="AC95" i="3"/>
  <c r="AB95" i="3"/>
  <c r="AA95" i="3"/>
  <c r="Z95" i="3"/>
  <c r="Y95" i="3"/>
  <c r="X95" i="3"/>
  <c r="W95" i="3"/>
  <c r="U95" i="3"/>
  <c r="T95" i="3"/>
  <c r="S95" i="3"/>
  <c r="AF94" i="3"/>
  <c r="AE94" i="3"/>
  <c r="AD94" i="3"/>
  <c r="AB94" i="3" s="1"/>
  <c r="AC94" i="3"/>
  <c r="Z94" i="3"/>
  <c r="Y94" i="3"/>
  <c r="X94" i="3"/>
  <c r="W94" i="3"/>
  <c r="U94" i="3"/>
  <c r="T94" i="3"/>
  <c r="S94" i="3"/>
  <c r="AF93" i="3"/>
  <c r="AE93" i="3"/>
  <c r="AD93" i="3"/>
  <c r="AC93" i="3"/>
  <c r="AB93" i="3"/>
  <c r="AA93" i="3"/>
  <c r="Z93" i="3"/>
  <c r="Y93" i="3"/>
  <c r="X93" i="3"/>
  <c r="W93" i="3"/>
  <c r="U93" i="3"/>
  <c r="T93" i="3"/>
  <c r="S93" i="3"/>
  <c r="AF92" i="3"/>
  <c r="AE92" i="3"/>
  <c r="AD92" i="3"/>
  <c r="AC92" i="3" s="1"/>
  <c r="Z92" i="3"/>
  <c r="Y92" i="3"/>
  <c r="X92" i="3"/>
  <c r="W92" i="3"/>
  <c r="U92" i="3"/>
  <c r="T92" i="3"/>
  <c r="S92" i="3"/>
  <c r="AF91" i="3"/>
  <c r="AE91" i="3"/>
  <c r="AD91" i="3"/>
  <c r="AC91" i="3"/>
  <c r="AB91" i="3"/>
  <c r="AA91" i="3"/>
  <c r="Z91" i="3"/>
  <c r="Y91" i="3"/>
  <c r="X91" i="3"/>
  <c r="W91" i="3"/>
  <c r="U91" i="3"/>
  <c r="T91" i="3"/>
  <c r="S91" i="3"/>
  <c r="AF90" i="3"/>
  <c r="AE90" i="3"/>
  <c r="AD90" i="3"/>
  <c r="AC90" i="3" s="1"/>
  <c r="AB90" i="3"/>
  <c r="Z90" i="3"/>
  <c r="Y90" i="3"/>
  <c r="X90" i="3"/>
  <c r="W90" i="3"/>
  <c r="U90" i="3"/>
  <c r="T90" i="3"/>
  <c r="S90" i="3"/>
  <c r="AF89" i="3"/>
  <c r="AE89" i="3"/>
  <c r="AD89" i="3"/>
  <c r="AC89" i="3" s="1"/>
  <c r="Z89" i="3"/>
  <c r="Y89" i="3"/>
  <c r="X89" i="3"/>
  <c r="W89" i="3"/>
  <c r="U89" i="3"/>
  <c r="T89" i="3"/>
  <c r="S89" i="3"/>
  <c r="AF88" i="3"/>
  <c r="AE88" i="3"/>
  <c r="AD88" i="3"/>
  <c r="AC88" i="3" s="1"/>
  <c r="AB88" i="3"/>
  <c r="AA88" i="3"/>
  <c r="Z88" i="3"/>
  <c r="Y88" i="3"/>
  <c r="X88" i="3"/>
  <c r="W88" i="3"/>
  <c r="U88" i="3"/>
  <c r="T88" i="3"/>
  <c r="S88" i="3"/>
  <c r="AF87" i="3"/>
  <c r="AE87" i="3"/>
  <c r="AD87" i="3"/>
  <c r="AB87" i="3" s="1"/>
  <c r="AC87" i="3"/>
  <c r="AA87" i="3"/>
  <c r="Z87" i="3"/>
  <c r="Y87" i="3"/>
  <c r="X87" i="3"/>
  <c r="W87" i="3"/>
  <c r="U87" i="3"/>
  <c r="T87" i="3"/>
  <c r="S87" i="3"/>
  <c r="AF86" i="3"/>
  <c r="AE86" i="3"/>
  <c r="AD86" i="3"/>
  <c r="AB86" i="3" s="1"/>
  <c r="AC86" i="3"/>
  <c r="Z86" i="3"/>
  <c r="Y86" i="3"/>
  <c r="X86" i="3"/>
  <c r="W86" i="3"/>
  <c r="U86" i="3"/>
  <c r="T86" i="3"/>
  <c r="S86" i="3"/>
  <c r="AF85" i="3"/>
  <c r="AE85" i="3"/>
  <c r="AD85" i="3"/>
  <c r="AC85" i="3"/>
  <c r="AB85" i="3"/>
  <c r="AA85" i="3"/>
  <c r="Z85" i="3"/>
  <c r="Y85" i="3"/>
  <c r="X85" i="3"/>
  <c r="W85" i="3"/>
  <c r="U85" i="3"/>
  <c r="T85" i="3"/>
  <c r="S85" i="3"/>
  <c r="AF84" i="3"/>
  <c r="AE84" i="3"/>
  <c r="AD84" i="3"/>
  <c r="AC84" i="3" s="1"/>
  <c r="Z84" i="3"/>
  <c r="Y84" i="3"/>
  <c r="X84" i="3"/>
  <c r="W84" i="3"/>
  <c r="U84" i="3"/>
  <c r="T84" i="3"/>
  <c r="S84" i="3"/>
  <c r="AF83" i="3"/>
  <c r="AE83" i="3"/>
  <c r="AD83" i="3"/>
  <c r="AC83" i="3"/>
  <c r="AB83" i="3"/>
  <c r="AA83" i="3"/>
  <c r="Z83" i="3"/>
  <c r="Y83" i="3"/>
  <c r="X83" i="3"/>
  <c r="W83" i="3"/>
  <c r="U83" i="3"/>
  <c r="T83" i="3"/>
  <c r="S83" i="3"/>
  <c r="AF82" i="3"/>
  <c r="AE82" i="3"/>
  <c r="AD82" i="3"/>
  <c r="AC82" i="3" s="1"/>
  <c r="AB82" i="3"/>
  <c r="Z82" i="3"/>
  <c r="Y82" i="3"/>
  <c r="X82" i="3"/>
  <c r="W82" i="3"/>
  <c r="U82" i="3"/>
  <c r="T82" i="3"/>
  <c r="S82" i="3"/>
  <c r="AF81" i="3"/>
  <c r="AE81" i="3"/>
  <c r="AD81" i="3"/>
  <c r="AC81" i="3" s="1"/>
  <c r="Z81" i="3"/>
  <c r="Y81" i="3"/>
  <c r="X81" i="3"/>
  <c r="W81" i="3"/>
  <c r="U81" i="3"/>
  <c r="T81" i="3"/>
  <c r="S81" i="3"/>
  <c r="AF80" i="3"/>
  <c r="AE80" i="3"/>
  <c r="AD80" i="3"/>
  <c r="AC80" i="3" s="1"/>
  <c r="AB80" i="3"/>
  <c r="AA80" i="3"/>
  <c r="Z80" i="3"/>
  <c r="Y80" i="3"/>
  <c r="X80" i="3"/>
  <c r="W80" i="3"/>
  <c r="U80" i="3"/>
  <c r="T80" i="3"/>
  <c r="S80" i="3"/>
  <c r="AF79" i="3"/>
  <c r="AE79" i="3"/>
  <c r="AD79" i="3"/>
  <c r="AB79" i="3" s="1"/>
  <c r="AC79" i="3"/>
  <c r="AA79" i="3"/>
  <c r="Z79" i="3"/>
  <c r="Y79" i="3"/>
  <c r="X79" i="3"/>
  <c r="W79" i="3"/>
  <c r="U79" i="3"/>
  <c r="T79" i="3"/>
  <c r="S79" i="3"/>
  <c r="AF78" i="3"/>
  <c r="AE78" i="3"/>
  <c r="AD78" i="3"/>
  <c r="AB78" i="3" s="1"/>
  <c r="AC78" i="3"/>
  <c r="Z78" i="3"/>
  <c r="Y78" i="3"/>
  <c r="X78" i="3"/>
  <c r="W78" i="3"/>
  <c r="U78" i="3"/>
  <c r="T78" i="3"/>
  <c r="S78" i="3"/>
  <c r="AF77" i="3"/>
  <c r="AE77" i="3"/>
  <c r="AD77" i="3"/>
  <c r="AC77" i="3"/>
  <c r="AB77" i="3"/>
  <c r="AA77" i="3"/>
  <c r="Z77" i="3"/>
  <c r="Y77" i="3"/>
  <c r="X77" i="3"/>
  <c r="W77" i="3"/>
  <c r="U77" i="3"/>
  <c r="T77" i="3"/>
  <c r="S77" i="3"/>
  <c r="AF76" i="3"/>
  <c r="AE76" i="3"/>
  <c r="AD76" i="3"/>
  <c r="AC76" i="3" s="1"/>
  <c r="Z76" i="3"/>
  <c r="Y76" i="3"/>
  <c r="X76" i="3"/>
  <c r="W76" i="3"/>
  <c r="U76" i="3"/>
  <c r="T76" i="3"/>
  <c r="S76" i="3"/>
  <c r="AF75" i="3"/>
  <c r="AE75" i="3"/>
  <c r="AD75" i="3"/>
  <c r="AC75" i="3"/>
  <c r="AB75" i="3"/>
  <c r="AA75" i="3"/>
  <c r="Z75" i="3"/>
  <c r="Y75" i="3"/>
  <c r="X75" i="3"/>
  <c r="W75" i="3"/>
  <c r="U75" i="3"/>
  <c r="T75" i="3"/>
  <c r="S75" i="3"/>
  <c r="AF74" i="3"/>
  <c r="AE74" i="3"/>
  <c r="AD74" i="3"/>
  <c r="AC74" i="3" s="1"/>
  <c r="AB74" i="3"/>
  <c r="Z74" i="3"/>
  <c r="Y74" i="3"/>
  <c r="X74" i="3"/>
  <c r="W74" i="3"/>
  <c r="U74" i="3"/>
  <c r="T74" i="3"/>
  <c r="S74" i="3"/>
  <c r="AF73" i="3"/>
  <c r="AE73" i="3"/>
  <c r="AD73" i="3"/>
  <c r="AC73" i="3" s="1"/>
  <c r="Z73" i="3"/>
  <c r="Y73" i="3"/>
  <c r="X73" i="3"/>
  <c r="W73" i="3"/>
  <c r="U73" i="3"/>
  <c r="T73" i="3"/>
  <c r="S73" i="3"/>
  <c r="AF72" i="3"/>
  <c r="AE72" i="3"/>
  <c r="AD72" i="3"/>
  <c r="AC72" i="3" s="1"/>
  <c r="AB72" i="3"/>
  <c r="AA72" i="3"/>
  <c r="Z72" i="3"/>
  <c r="Y72" i="3"/>
  <c r="X72" i="3"/>
  <c r="W72" i="3"/>
  <c r="U72" i="3"/>
  <c r="T72" i="3"/>
  <c r="S72" i="3"/>
  <c r="AF71" i="3"/>
  <c r="AE71" i="3"/>
  <c r="AD71" i="3"/>
  <c r="AB71" i="3" s="1"/>
  <c r="AC71" i="3"/>
  <c r="AA71" i="3"/>
  <c r="Z71" i="3"/>
  <c r="Y71" i="3"/>
  <c r="X71" i="3"/>
  <c r="W71" i="3"/>
  <c r="U71" i="3"/>
  <c r="T71" i="3"/>
  <c r="S71" i="3"/>
  <c r="AF70" i="3"/>
  <c r="AE70" i="3"/>
  <c r="AD70" i="3"/>
  <c r="AB70" i="3" s="1"/>
  <c r="AC70" i="3"/>
  <c r="Z70" i="3"/>
  <c r="Y70" i="3"/>
  <c r="X70" i="3"/>
  <c r="W70" i="3"/>
  <c r="U70" i="3"/>
  <c r="T70" i="3"/>
  <c r="S70" i="3"/>
  <c r="AF69" i="3"/>
  <c r="AE69" i="3"/>
  <c r="AD69" i="3"/>
  <c r="AC69" i="3"/>
  <c r="AB69" i="3"/>
  <c r="AA69" i="3"/>
  <c r="Z69" i="3"/>
  <c r="Y69" i="3"/>
  <c r="X69" i="3"/>
  <c r="W69" i="3"/>
  <c r="U69" i="3"/>
  <c r="T69" i="3"/>
  <c r="S69" i="3"/>
  <c r="AF68" i="3"/>
  <c r="AE68" i="3"/>
  <c r="AD68" i="3"/>
  <c r="AC68" i="3" s="1"/>
  <c r="Z68" i="3"/>
  <c r="Y68" i="3"/>
  <c r="X68" i="3"/>
  <c r="W68" i="3"/>
  <c r="U68" i="3"/>
  <c r="T68" i="3"/>
  <c r="S68" i="3"/>
  <c r="AF67" i="3"/>
  <c r="AE67" i="3"/>
  <c r="AD67" i="3"/>
  <c r="AC67" i="3"/>
  <c r="AB67" i="3"/>
  <c r="AA67" i="3"/>
  <c r="Z67" i="3"/>
  <c r="Y67" i="3"/>
  <c r="X67" i="3"/>
  <c r="W67" i="3"/>
  <c r="U67" i="3"/>
  <c r="T67" i="3"/>
  <c r="S67" i="3"/>
  <c r="AF66" i="3"/>
  <c r="AE66" i="3"/>
  <c r="AD66" i="3"/>
  <c r="AC66" i="3" s="1"/>
  <c r="AB66" i="3"/>
  <c r="Z66" i="3"/>
  <c r="Y66" i="3"/>
  <c r="X66" i="3"/>
  <c r="W66" i="3"/>
  <c r="U66" i="3"/>
  <c r="T66" i="3"/>
  <c r="S66" i="3"/>
  <c r="AF65" i="3"/>
  <c r="AE65" i="3"/>
  <c r="AD65" i="3"/>
  <c r="AC65" i="3" s="1"/>
  <c r="Z65" i="3"/>
  <c r="Y65" i="3"/>
  <c r="X65" i="3"/>
  <c r="W65" i="3"/>
  <c r="U65" i="3"/>
  <c r="T65" i="3"/>
  <c r="S65" i="3"/>
  <c r="AF64" i="3"/>
  <c r="AE64" i="3"/>
  <c r="AD64" i="3"/>
  <c r="AC64" i="3" s="1"/>
  <c r="AB64" i="3"/>
  <c r="AA64" i="3"/>
  <c r="Z64" i="3"/>
  <c r="Y64" i="3"/>
  <c r="X64" i="3"/>
  <c r="W64" i="3"/>
  <c r="U64" i="3"/>
  <c r="T64" i="3"/>
  <c r="S64" i="3"/>
  <c r="AF63" i="3"/>
  <c r="AE63" i="3"/>
  <c r="AD63" i="3"/>
  <c r="AB63" i="3" s="1"/>
  <c r="AC63" i="3"/>
  <c r="AA63" i="3"/>
  <c r="Z63" i="3"/>
  <c r="Y63" i="3"/>
  <c r="X63" i="3"/>
  <c r="W63" i="3"/>
  <c r="U63" i="3"/>
  <c r="T63" i="3"/>
  <c r="S63" i="3"/>
  <c r="AF62" i="3"/>
  <c r="AE62" i="3"/>
  <c r="AD62" i="3"/>
  <c r="AB62" i="3" s="1"/>
  <c r="AC62" i="3"/>
  <c r="Z62" i="3"/>
  <c r="Y62" i="3"/>
  <c r="X62" i="3"/>
  <c r="W62" i="3"/>
  <c r="U62" i="3"/>
  <c r="T62" i="3"/>
  <c r="S62" i="3"/>
  <c r="AF61" i="3"/>
  <c r="AE61" i="3"/>
  <c r="AD61" i="3"/>
  <c r="AC61" i="3"/>
  <c r="AB61" i="3"/>
  <c r="AA61" i="3"/>
  <c r="Z61" i="3"/>
  <c r="Y61" i="3"/>
  <c r="X61" i="3"/>
  <c r="W61" i="3"/>
  <c r="U61" i="3"/>
  <c r="T61" i="3"/>
  <c r="S61" i="3"/>
  <c r="AF60" i="3"/>
  <c r="AE60" i="3"/>
  <c r="AD60" i="3"/>
  <c r="AC60" i="3" s="1"/>
  <c r="Z60" i="3"/>
  <c r="Y60" i="3"/>
  <c r="X60" i="3"/>
  <c r="W60" i="3"/>
  <c r="U60" i="3"/>
  <c r="T60" i="3"/>
  <c r="S60" i="3"/>
  <c r="AF59" i="3"/>
  <c r="AE59" i="3"/>
  <c r="AD59" i="3"/>
  <c r="AC59" i="3"/>
  <c r="AB59" i="3"/>
  <c r="AA59" i="3"/>
  <c r="Z59" i="3"/>
  <c r="Y59" i="3"/>
  <c r="X59" i="3"/>
  <c r="W59" i="3"/>
  <c r="U59" i="3"/>
  <c r="T59" i="3"/>
  <c r="S59" i="3"/>
  <c r="AF58" i="3"/>
  <c r="AE58" i="3"/>
  <c r="AD58" i="3"/>
  <c r="AC58" i="3" s="1"/>
  <c r="AB58" i="3"/>
  <c r="AA58" i="3"/>
  <c r="Z58" i="3"/>
  <c r="Y58" i="3"/>
  <c r="X58" i="3"/>
  <c r="W58" i="3"/>
  <c r="U58" i="3"/>
  <c r="T58" i="3"/>
  <c r="S58" i="3"/>
  <c r="AF57" i="3"/>
  <c r="AE57" i="3"/>
  <c r="AD57" i="3"/>
  <c r="AC57" i="3" s="1"/>
  <c r="Z57" i="3"/>
  <c r="Y57" i="3"/>
  <c r="X57" i="3"/>
  <c r="W57" i="3"/>
  <c r="U57" i="3"/>
  <c r="T57" i="3"/>
  <c r="S57" i="3"/>
  <c r="AF56" i="3"/>
  <c r="AE56" i="3"/>
  <c r="AD56" i="3"/>
  <c r="AC56" i="3" s="1"/>
  <c r="AB56" i="3"/>
  <c r="AA56" i="3"/>
  <c r="Z56" i="3"/>
  <c r="Y56" i="3"/>
  <c r="X56" i="3"/>
  <c r="W56" i="3"/>
  <c r="U56" i="3"/>
  <c r="T56" i="3"/>
  <c r="S56" i="3"/>
  <c r="AF55" i="3"/>
  <c r="AE55" i="3"/>
  <c r="AD55" i="3"/>
  <c r="AB55" i="3" s="1"/>
  <c r="AC55" i="3"/>
  <c r="AA55" i="3"/>
  <c r="Z55" i="3"/>
  <c r="Y55" i="3"/>
  <c r="X55" i="3"/>
  <c r="W55" i="3"/>
  <c r="U55" i="3"/>
  <c r="T55" i="3"/>
  <c r="S55" i="3"/>
  <c r="AF54" i="3"/>
  <c r="AE54" i="3"/>
  <c r="AD54" i="3"/>
  <c r="AB54" i="3" s="1"/>
  <c r="AC54" i="3"/>
  <c r="Z54" i="3"/>
  <c r="Y54" i="3"/>
  <c r="X54" i="3"/>
  <c r="W54" i="3"/>
  <c r="U54" i="3"/>
  <c r="T54" i="3"/>
  <c r="S54" i="3"/>
  <c r="AF53" i="3"/>
  <c r="AE53" i="3"/>
  <c r="AD53" i="3"/>
  <c r="AC53" i="3"/>
  <c r="AB53" i="3"/>
  <c r="AA53" i="3"/>
  <c r="Z53" i="3"/>
  <c r="Y53" i="3"/>
  <c r="X53" i="3"/>
  <c r="W53" i="3"/>
  <c r="U53" i="3"/>
  <c r="T53" i="3"/>
  <c r="S53" i="3"/>
  <c r="AF52" i="3"/>
  <c r="AE52" i="3"/>
  <c r="AD52" i="3"/>
  <c r="AC52" i="3" s="1"/>
  <c r="Z52" i="3"/>
  <c r="Y52" i="3"/>
  <c r="X52" i="3"/>
  <c r="W52" i="3"/>
  <c r="U52" i="3"/>
  <c r="T52" i="3"/>
  <c r="S52" i="3"/>
  <c r="AF51" i="3"/>
  <c r="AE51" i="3"/>
  <c r="AD51" i="3"/>
  <c r="AC51" i="3"/>
  <c r="AB51" i="3"/>
  <c r="AA51" i="3"/>
  <c r="Z51" i="3"/>
  <c r="Y51" i="3"/>
  <c r="X51" i="3"/>
  <c r="W51" i="3"/>
  <c r="U51" i="3"/>
  <c r="T51" i="3"/>
  <c r="S51" i="3"/>
  <c r="AF50" i="3"/>
  <c r="AE50" i="3"/>
  <c r="AD50" i="3"/>
  <c r="AC50" i="3" s="1"/>
  <c r="AB50" i="3"/>
  <c r="AA50" i="3"/>
  <c r="Z50" i="3"/>
  <c r="Y50" i="3"/>
  <c r="X50" i="3"/>
  <c r="W50" i="3"/>
  <c r="U50" i="3"/>
  <c r="T50" i="3"/>
  <c r="S50" i="3"/>
  <c r="AF49" i="3"/>
  <c r="AE49" i="3"/>
  <c r="AD49" i="3"/>
  <c r="AC49" i="3" s="1"/>
  <c r="Z49" i="3"/>
  <c r="Y49" i="3"/>
  <c r="X49" i="3"/>
  <c r="W49" i="3"/>
  <c r="U49" i="3"/>
  <c r="T49" i="3"/>
  <c r="S49" i="3"/>
  <c r="AF48" i="3"/>
  <c r="AE48" i="3"/>
  <c r="AD48" i="3"/>
  <c r="AC48" i="3" s="1"/>
  <c r="AB48" i="3"/>
  <c r="AA48" i="3"/>
  <c r="Z48" i="3"/>
  <c r="Y48" i="3"/>
  <c r="X48" i="3"/>
  <c r="W48" i="3"/>
  <c r="U48" i="3"/>
  <c r="T48" i="3"/>
  <c r="S48" i="3"/>
  <c r="AF47" i="3"/>
  <c r="AE47" i="3"/>
  <c r="AD47" i="3"/>
  <c r="AB47" i="3" s="1"/>
  <c r="AC47" i="3"/>
  <c r="AA47" i="3"/>
  <c r="Z47" i="3"/>
  <c r="Y47" i="3"/>
  <c r="X47" i="3"/>
  <c r="W47" i="3"/>
  <c r="U47" i="3"/>
  <c r="T47" i="3"/>
  <c r="S47" i="3"/>
  <c r="AF46" i="3"/>
  <c r="AE46" i="3"/>
  <c r="AD46" i="3"/>
  <c r="AB46" i="3" s="1"/>
  <c r="AC46" i="3"/>
  <c r="Z46" i="3"/>
  <c r="Y46" i="3"/>
  <c r="X46" i="3"/>
  <c r="W46" i="3"/>
  <c r="U46" i="3"/>
  <c r="T46" i="3"/>
  <c r="S46" i="3"/>
  <c r="AF45" i="3"/>
  <c r="AE45" i="3"/>
  <c r="AD45" i="3"/>
  <c r="AC45" i="3"/>
  <c r="AB45" i="3"/>
  <c r="AA45" i="3"/>
  <c r="Z45" i="3"/>
  <c r="Y45" i="3"/>
  <c r="X45" i="3"/>
  <c r="W45" i="3"/>
  <c r="U45" i="3"/>
  <c r="T45" i="3"/>
  <c r="S45" i="3"/>
  <c r="AF44" i="3"/>
  <c r="AE44" i="3"/>
  <c r="AD44" i="3"/>
  <c r="AC44" i="3" s="1"/>
  <c r="Z44" i="3"/>
  <c r="Y44" i="3"/>
  <c r="X44" i="3"/>
  <c r="W44" i="3"/>
  <c r="U44" i="3"/>
  <c r="T44" i="3"/>
  <c r="S44" i="3"/>
  <c r="AF43" i="3"/>
  <c r="AE43" i="3"/>
  <c r="AD43" i="3"/>
  <c r="AC43" i="3"/>
  <c r="AB43" i="3"/>
  <c r="AA43" i="3"/>
  <c r="Z43" i="3"/>
  <c r="Y43" i="3"/>
  <c r="X43" i="3"/>
  <c r="W43" i="3"/>
  <c r="U43" i="3"/>
  <c r="T43" i="3"/>
  <c r="S43" i="3"/>
  <c r="AF42" i="3"/>
  <c r="AE42" i="3"/>
  <c r="AD42" i="3"/>
  <c r="AC42" i="3" s="1"/>
  <c r="AB42" i="3"/>
  <c r="AA42" i="3"/>
  <c r="Z42" i="3"/>
  <c r="Y42" i="3"/>
  <c r="X42" i="3"/>
  <c r="W42" i="3"/>
  <c r="U42" i="3"/>
  <c r="T42" i="3"/>
  <c r="S42" i="3"/>
  <c r="AF41" i="3"/>
  <c r="AE41" i="3"/>
  <c r="AD41" i="3"/>
  <c r="AC41" i="3" s="1"/>
  <c r="Z41" i="3"/>
  <c r="Y41" i="3"/>
  <c r="X41" i="3"/>
  <c r="W41" i="3"/>
  <c r="U41" i="3"/>
  <c r="T41" i="3"/>
  <c r="S41" i="3"/>
  <c r="AF40" i="3"/>
  <c r="AE40" i="3"/>
  <c r="AD40" i="3"/>
  <c r="AC40" i="3" s="1"/>
  <c r="AB40" i="3"/>
  <c r="AA40" i="3"/>
  <c r="Z40" i="3"/>
  <c r="Y40" i="3"/>
  <c r="X40" i="3"/>
  <c r="W40" i="3"/>
  <c r="U40" i="3"/>
  <c r="T40" i="3"/>
  <c r="S40" i="3"/>
  <c r="AF39" i="3"/>
  <c r="AE39" i="3"/>
  <c r="AD39" i="3"/>
  <c r="AB39" i="3" s="1"/>
  <c r="AC39" i="3"/>
  <c r="AA39" i="3"/>
  <c r="Z39" i="3"/>
  <c r="Y39" i="3"/>
  <c r="X39" i="3"/>
  <c r="W39" i="3"/>
  <c r="U39" i="3"/>
  <c r="T39" i="3"/>
  <c r="S39" i="3"/>
  <c r="AF38" i="3"/>
  <c r="AE38" i="3"/>
  <c r="AD38" i="3"/>
  <c r="AB38" i="3" s="1"/>
  <c r="AC38" i="3"/>
  <c r="Z38" i="3"/>
  <c r="Y38" i="3"/>
  <c r="X38" i="3"/>
  <c r="W38" i="3"/>
  <c r="U38" i="3"/>
  <c r="T38" i="3"/>
  <c r="S38" i="3"/>
  <c r="AF37" i="3"/>
  <c r="AE37" i="3"/>
  <c r="AD37" i="3"/>
  <c r="AC37" i="3"/>
  <c r="AB37" i="3"/>
  <c r="AA37" i="3"/>
  <c r="Z37" i="3"/>
  <c r="Y37" i="3"/>
  <c r="X37" i="3"/>
  <c r="W37" i="3"/>
  <c r="U37" i="3"/>
  <c r="T37" i="3"/>
  <c r="S37" i="3"/>
  <c r="AF36" i="3"/>
  <c r="AE36" i="3"/>
  <c r="AD36" i="3"/>
  <c r="AC36" i="3" s="1"/>
  <c r="Z36" i="3"/>
  <c r="Y36" i="3"/>
  <c r="X36" i="3"/>
  <c r="W36" i="3"/>
  <c r="U36" i="3"/>
  <c r="T36" i="3"/>
  <c r="S36" i="3"/>
  <c r="AF35" i="3"/>
  <c r="AE35" i="3"/>
  <c r="AD35" i="3"/>
  <c r="AC35" i="3"/>
  <c r="AB35" i="3"/>
  <c r="AA35" i="3"/>
  <c r="Z35" i="3"/>
  <c r="Y35" i="3"/>
  <c r="X35" i="3"/>
  <c r="W35" i="3"/>
  <c r="U35" i="3"/>
  <c r="T35" i="3"/>
  <c r="S35" i="3"/>
  <c r="AF34" i="3"/>
  <c r="AE34" i="3"/>
  <c r="AD34" i="3"/>
  <c r="AC34" i="3" s="1"/>
  <c r="AB34" i="3"/>
  <c r="AA34" i="3"/>
  <c r="Z34" i="3"/>
  <c r="Y34" i="3"/>
  <c r="X34" i="3"/>
  <c r="W34" i="3"/>
  <c r="U34" i="3"/>
  <c r="T34" i="3"/>
  <c r="S34" i="3"/>
  <c r="AF33" i="3"/>
  <c r="AE33" i="3"/>
  <c r="AD33" i="3"/>
  <c r="AC33" i="3" s="1"/>
  <c r="Z33" i="3"/>
  <c r="Y33" i="3"/>
  <c r="X33" i="3"/>
  <c r="W33" i="3"/>
  <c r="U33" i="3"/>
  <c r="T33" i="3"/>
  <c r="S33" i="3"/>
  <c r="AF32" i="3"/>
  <c r="AE32" i="3"/>
  <c r="AD32" i="3"/>
  <c r="AC32" i="3" s="1"/>
  <c r="AB32" i="3"/>
  <c r="AA32" i="3"/>
  <c r="Z32" i="3"/>
  <c r="Y32" i="3"/>
  <c r="X32" i="3"/>
  <c r="W32" i="3"/>
  <c r="U32" i="3"/>
  <c r="T32" i="3"/>
  <c r="S32" i="3"/>
  <c r="AF31" i="3"/>
  <c r="AE31" i="3"/>
  <c r="AD31" i="3"/>
  <c r="AB31" i="3" s="1"/>
  <c r="AC31" i="3"/>
  <c r="AA31" i="3"/>
  <c r="Z31" i="3"/>
  <c r="Y31" i="3"/>
  <c r="X31" i="3"/>
  <c r="W31" i="3"/>
  <c r="U31" i="3"/>
  <c r="T31" i="3"/>
  <c r="S31" i="3"/>
  <c r="AF30" i="3"/>
  <c r="AE30" i="3"/>
  <c r="AD30" i="3"/>
  <c r="AB30" i="3" s="1"/>
  <c r="AC30" i="3"/>
  <c r="Z30" i="3"/>
  <c r="Y30" i="3"/>
  <c r="X30" i="3"/>
  <c r="W30" i="3"/>
  <c r="U30" i="3"/>
  <c r="T30" i="3"/>
  <c r="G3" i="3" s="1" a="1"/>
  <c r="G3" i="3" s="1"/>
  <c r="S30" i="3"/>
  <c r="AF29" i="3"/>
  <c r="AE29" i="3"/>
  <c r="AD29" i="3"/>
  <c r="AC29" i="3"/>
  <c r="AB29" i="3"/>
  <c r="AA29" i="3"/>
  <c r="Z29" i="3"/>
  <c r="Y29" i="3"/>
  <c r="X29" i="3"/>
  <c r="W29" i="3"/>
  <c r="U29" i="3"/>
  <c r="T29" i="3"/>
  <c r="S29" i="3"/>
  <c r="AF28" i="3"/>
  <c r="AE28" i="3"/>
  <c r="I9" i="3" s="1" a="1"/>
  <c r="I9" i="3" s="1"/>
  <c r="AD28" i="3"/>
  <c r="AC28" i="3" s="1"/>
  <c r="Z28" i="3"/>
  <c r="Y28" i="3"/>
  <c r="X28" i="3"/>
  <c r="W28" i="3"/>
  <c r="U28" i="3"/>
  <c r="T28" i="3"/>
  <c r="S28" i="3"/>
  <c r="AF27" i="3"/>
  <c r="AE27" i="3"/>
  <c r="AD27" i="3"/>
  <c r="AC27" i="3"/>
  <c r="AB27" i="3"/>
  <c r="AA27" i="3"/>
  <c r="Z27" i="3"/>
  <c r="Y27" i="3"/>
  <c r="X27" i="3"/>
  <c r="W27" i="3"/>
  <c r="U27" i="3"/>
  <c r="T27" i="3"/>
  <c r="H3" i="3" s="1" a="1"/>
  <c r="H3" i="3" s="1"/>
  <c r="S27" i="3"/>
  <c r="C2" i="3" s="1"/>
  <c r="AF26" i="3"/>
  <c r="AE26" i="3"/>
  <c r="AD26" i="3"/>
  <c r="AC26" i="3" s="1"/>
  <c r="AB26" i="3"/>
  <c r="Z26" i="3"/>
  <c r="Y26" i="3"/>
  <c r="X26" i="3"/>
  <c r="W26" i="3"/>
  <c r="U26" i="3"/>
  <c r="T26" i="3"/>
  <c r="S26" i="3"/>
  <c r="AF25" i="3"/>
  <c r="AE25" i="3"/>
  <c r="H9" i="3" s="1" a="1"/>
  <c r="H9" i="3" s="1"/>
  <c r="AD25" i="3"/>
  <c r="AC25" i="3" s="1"/>
  <c r="Z25" i="3"/>
  <c r="Y25" i="3"/>
  <c r="X25" i="3"/>
  <c r="W25" i="3"/>
  <c r="U25" i="3"/>
  <c r="C5" i="3" s="1"/>
  <c r="T25" i="3"/>
  <c r="I3" i="3" s="1" a="1"/>
  <c r="I3" i="3" s="1"/>
  <c r="S25" i="3"/>
  <c r="AF24" i="3"/>
  <c r="AE24" i="3"/>
  <c r="AD24" i="3"/>
  <c r="AC24" i="3" s="1"/>
  <c r="AB24" i="3"/>
  <c r="AA24" i="3"/>
  <c r="Z24" i="3"/>
  <c r="Y24" i="3"/>
  <c r="X24" i="3"/>
  <c r="W24" i="3"/>
  <c r="U24" i="3"/>
  <c r="I5" i="3" s="1" a="1"/>
  <c r="I5" i="3" s="1"/>
  <c r="T24" i="3"/>
  <c r="S24" i="3"/>
  <c r="I2" i="3" s="1" a="1"/>
  <c r="I2" i="3" s="1"/>
  <c r="AF23" i="3"/>
  <c r="AE23" i="3"/>
  <c r="G9" i="3" s="1" a="1"/>
  <c r="G9" i="3" s="1"/>
  <c r="AD23" i="3"/>
  <c r="AB23" i="3" s="1"/>
  <c r="AC23" i="3"/>
  <c r="AA23" i="3"/>
  <c r="Z23" i="3"/>
  <c r="Y23" i="3"/>
  <c r="X23" i="3"/>
  <c r="W23" i="3"/>
  <c r="U23" i="3"/>
  <c r="T23" i="3"/>
  <c r="S23" i="3"/>
  <c r="AF22" i="3"/>
  <c r="AF21" i="3"/>
  <c r="AF20" i="3"/>
  <c r="AF19" i="3"/>
  <c r="AF18" i="3"/>
  <c r="AF17" i="3"/>
  <c r="AF16" i="3"/>
  <c r="C12" i="3"/>
  <c r="C10" i="3"/>
  <c r="I7" i="3" a="1"/>
  <c r="I7" i="3" s="1"/>
  <c r="H7" i="3" a="1"/>
  <c r="H7" i="3" s="1"/>
  <c r="G7" i="3" a="1"/>
  <c r="G7" i="3" s="1"/>
  <c r="C7" i="3"/>
  <c r="G5" i="3" a="1"/>
  <c r="G5" i="3" s="1"/>
  <c r="C3" i="3"/>
  <c r="C1" i="3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23" i="1"/>
  <c r="C10" i="1"/>
  <c r="C12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6" i="1"/>
  <c r="S60" i="1"/>
  <c r="T60" i="1"/>
  <c r="U60" i="1"/>
  <c r="W60" i="1"/>
  <c r="X60" i="1"/>
  <c r="Y60" i="1"/>
  <c r="Z60" i="1"/>
  <c r="AD60" i="1"/>
  <c r="AE60" i="1"/>
  <c r="S61" i="1"/>
  <c r="T61" i="1"/>
  <c r="U61" i="1"/>
  <c r="W61" i="1"/>
  <c r="X61" i="1"/>
  <c r="Y61" i="1"/>
  <c r="Z61" i="1"/>
  <c r="AD61" i="1"/>
  <c r="AE61" i="1"/>
  <c r="S62" i="1"/>
  <c r="T62" i="1"/>
  <c r="U62" i="1"/>
  <c r="W62" i="1"/>
  <c r="X62" i="1"/>
  <c r="Y62" i="1"/>
  <c r="Z62" i="1"/>
  <c r="AD62" i="1"/>
  <c r="AE62" i="1"/>
  <c r="S63" i="1"/>
  <c r="T63" i="1"/>
  <c r="U63" i="1"/>
  <c r="W63" i="1"/>
  <c r="X63" i="1"/>
  <c r="Y63" i="1"/>
  <c r="Z63" i="1"/>
  <c r="AD63" i="1"/>
  <c r="AE63" i="1"/>
  <c r="S64" i="1"/>
  <c r="T64" i="1"/>
  <c r="U64" i="1"/>
  <c r="W64" i="1"/>
  <c r="X64" i="1"/>
  <c r="Y64" i="1"/>
  <c r="Z64" i="1"/>
  <c r="AD64" i="1"/>
  <c r="AE64" i="1"/>
  <c r="S65" i="1"/>
  <c r="T65" i="1"/>
  <c r="U65" i="1"/>
  <c r="W65" i="1"/>
  <c r="X65" i="1"/>
  <c r="Y65" i="1"/>
  <c r="Z65" i="1"/>
  <c r="AD65" i="1"/>
  <c r="AE65" i="1"/>
  <c r="S66" i="1"/>
  <c r="T66" i="1"/>
  <c r="U66" i="1"/>
  <c r="W66" i="1"/>
  <c r="X66" i="1"/>
  <c r="Y66" i="1"/>
  <c r="Z66" i="1"/>
  <c r="AD66" i="1"/>
  <c r="AE66" i="1"/>
  <c r="S67" i="1"/>
  <c r="T67" i="1"/>
  <c r="U67" i="1"/>
  <c r="W67" i="1"/>
  <c r="X67" i="1"/>
  <c r="Y67" i="1"/>
  <c r="Z67" i="1"/>
  <c r="AD67" i="1"/>
  <c r="AE67" i="1"/>
  <c r="S68" i="1"/>
  <c r="T68" i="1"/>
  <c r="U68" i="1"/>
  <c r="W68" i="1"/>
  <c r="X68" i="1"/>
  <c r="Y68" i="1"/>
  <c r="Z68" i="1"/>
  <c r="AD68" i="1"/>
  <c r="AE68" i="1"/>
  <c r="S69" i="1"/>
  <c r="T69" i="1"/>
  <c r="U69" i="1"/>
  <c r="W69" i="1"/>
  <c r="X69" i="1"/>
  <c r="Y69" i="1"/>
  <c r="Z69" i="1"/>
  <c r="AD69" i="1"/>
  <c r="AE69" i="1"/>
  <c r="S70" i="1"/>
  <c r="T70" i="1"/>
  <c r="U70" i="1"/>
  <c r="W70" i="1"/>
  <c r="X70" i="1"/>
  <c r="Y70" i="1"/>
  <c r="Z70" i="1"/>
  <c r="AD70" i="1"/>
  <c r="AE70" i="1"/>
  <c r="S71" i="1"/>
  <c r="T71" i="1"/>
  <c r="U71" i="1"/>
  <c r="W71" i="1"/>
  <c r="X71" i="1"/>
  <c r="Y71" i="1"/>
  <c r="Z71" i="1"/>
  <c r="AD71" i="1"/>
  <c r="AE71" i="1"/>
  <c r="S72" i="1"/>
  <c r="T72" i="1"/>
  <c r="U72" i="1"/>
  <c r="W72" i="1"/>
  <c r="X72" i="1"/>
  <c r="Y72" i="1"/>
  <c r="Z72" i="1"/>
  <c r="AD72" i="1"/>
  <c r="AE72" i="1"/>
  <c r="S73" i="1"/>
  <c r="T73" i="1"/>
  <c r="U73" i="1"/>
  <c r="W73" i="1"/>
  <c r="X73" i="1"/>
  <c r="Y73" i="1"/>
  <c r="Z73" i="1"/>
  <c r="AD73" i="1"/>
  <c r="AE73" i="1"/>
  <c r="S74" i="1"/>
  <c r="T74" i="1"/>
  <c r="U74" i="1"/>
  <c r="W74" i="1"/>
  <c r="X74" i="1"/>
  <c r="Y74" i="1"/>
  <c r="Z74" i="1"/>
  <c r="AD74" i="1"/>
  <c r="AE74" i="1"/>
  <c r="S75" i="1"/>
  <c r="T75" i="1"/>
  <c r="U75" i="1"/>
  <c r="W75" i="1"/>
  <c r="X75" i="1"/>
  <c r="Y75" i="1"/>
  <c r="Z75" i="1"/>
  <c r="AD75" i="1"/>
  <c r="AE75" i="1"/>
  <c r="S76" i="1"/>
  <c r="T76" i="1"/>
  <c r="U76" i="1"/>
  <c r="W76" i="1"/>
  <c r="X76" i="1"/>
  <c r="Y76" i="1"/>
  <c r="Z76" i="1"/>
  <c r="AD76" i="1"/>
  <c r="AE76" i="1"/>
  <c r="S77" i="1"/>
  <c r="T77" i="1"/>
  <c r="U77" i="1"/>
  <c r="W77" i="1"/>
  <c r="X77" i="1"/>
  <c r="Y77" i="1"/>
  <c r="Z77" i="1"/>
  <c r="AD77" i="1"/>
  <c r="AE77" i="1"/>
  <c r="S78" i="1"/>
  <c r="T78" i="1"/>
  <c r="U78" i="1"/>
  <c r="W78" i="1"/>
  <c r="X78" i="1"/>
  <c r="Y78" i="1"/>
  <c r="Z78" i="1"/>
  <c r="AD78" i="1"/>
  <c r="AE78" i="1"/>
  <c r="S79" i="1"/>
  <c r="T79" i="1"/>
  <c r="U79" i="1"/>
  <c r="W79" i="1"/>
  <c r="X79" i="1"/>
  <c r="Y79" i="1"/>
  <c r="Z79" i="1"/>
  <c r="AD79" i="1"/>
  <c r="AE79" i="1"/>
  <c r="S80" i="1"/>
  <c r="T80" i="1"/>
  <c r="U80" i="1"/>
  <c r="W80" i="1"/>
  <c r="X80" i="1"/>
  <c r="Y80" i="1"/>
  <c r="Z80" i="1"/>
  <c r="AD80" i="1"/>
  <c r="AE80" i="1"/>
  <c r="S81" i="1"/>
  <c r="T81" i="1"/>
  <c r="U81" i="1"/>
  <c r="W81" i="1"/>
  <c r="X81" i="1"/>
  <c r="Y81" i="1"/>
  <c r="Z81" i="1"/>
  <c r="AD81" i="1"/>
  <c r="AE81" i="1"/>
  <c r="S82" i="1"/>
  <c r="T82" i="1"/>
  <c r="U82" i="1"/>
  <c r="W82" i="1"/>
  <c r="X82" i="1"/>
  <c r="Y82" i="1"/>
  <c r="Z82" i="1"/>
  <c r="AD82" i="1"/>
  <c r="AE82" i="1"/>
  <c r="S83" i="1"/>
  <c r="T83" i="1"/>
  <c r="U83" i="1"/>
  <c r="W83" i="1"/>
  <c r="X83" i="1"/>
  <c r="Y83" i="1"/>
  <c r="Z83" i="1"/>
  <c r="AD83" i="1"/>
  <c r="AE83" i="1"/>
  <c r="S84" i="1"/>
  <c r="T84" i="1"/>
  <c r="U84" i="1"/>
  <c r="W84" i="1"/>
  <c r="X84" i="1"/>
  <c r="Y84" i="1"/>
  <c r="Z84" i="1"/>
  <c r="AD84" i="1"/>
  <c r="AE84" i="1"/>
  <c r="S85" i="1"/>
  <c r="T85" i="1"/>
  <c r="U85" i="1"/>
  <c r="W85" i="1"/>
  <c r="X85" i="1"/>
  <c r="Y85" i="1"/>
  <c r="Z85" i="1"/>
  <c r="AD85" i="1"/>
  <c r="AE85" i="1"/>
  <c r="S86" i="1"/>
  <c r="T86" i="1"/>
  <c r="U86" i="1"/>
  <c r="W86" i="1"/>
  <c r="X86" i="1"/>
  <c r="Y86" i="1"/>
  <c r="Z86" i="1"/>
  <c r="AD86" i="1"/>
  <c r="AE86" i="1"/>
  <c r="S87" i="1"/>
  <c r="T87" i="1"/>
  <c r="U87" i="1"/>
  <c r="W87" i="1"/>
  <c r="X87" i="1"/>
  <c r="Y87" i="1"/>
  <c r="Z87" i="1"/>
  <c r="AD87" i="1"/>
  <c r="AE87" i="1"/>
  <c r="S88" i="1"/>
  <c r="T88" i="1"/>
  <c r="U88" i="1"/>
  <c r="W88" i="1"/>
  <c r="X88" i="1"/>
  <c r="Y88" i="1"/>
  <c r="Z88" i="1"/>
  <c r="AD88" i="1"/>
  <c r="AE88" i="1"/>
  <c r="S89" i="1"/>
  <c r="T89" i="1"/>
  <c r="U89" i="1"/>
  <c r="W89" i="1"/>
  <c r="X89" i="1"/>
  <c r="Y89" i="1"/>
  <c r="Z89" i="1"/>
  <c r="AD89" i="1"/>
  <c r="AE89" i="1"/>
  <c r="S90" i="1"/>
  <c r="T90" i="1"/>
  <c r="U90" i="1"/>
  <c r="W90" i="1"/>
  <c r="X90" i="1"/>
  <c r="Y90" i="1"/>
  <c r="Z90" i="1"/>
  <c r="AD90" i="1"/>
  <c r="AE90" i="1"/>
  <c r="S91" i="1"/>
  <c r="T91" i="1"/>
  <c r="U91" i="1"/>
  <c r="W91" i="1"/>
  <c r="X91" i="1"/>
  <c r="Y91" i="1"/>
  <c r="Z91" i="1"/>
  <c r="AD91" i="1"/>
  <c r="AE91" i="1"/>
  <c r="S92" i="1"/>
  <c r="T92" i="1"/>
  <c r="U92" i="1"/>
  <c r="W92" i="1"/>
  <c r="X92" i="1"/>
  <c r="Y92" i="1"/>
  <c r="Z92" i="1"/>
  <c r="AD92" i="1"/>
  <c r="AE92" i="1"/>
  <c r="S93" i="1"/>
  <c r="T93" i="1"/>
  <c r="U93" i="1"/>
  <c r="W93" i="1"/>
  <c r="X93" i="1"/>
  <c r="Y93" i="1"/>
  <c r="Z93" i="1"/>
  <c r="AD93" i="1"/>
  <c r="AE93" i="1"/>
  <c r="S94" i="1"/>
  <c r="T94" i="1"/>
  <c r="U94" i="1"/>
  <c r="W94" i="1"/>
  <c r="X94" i="1"/>
  <c r="Y94" i="1"/>
  <c r="Z94" i="1"/>
  <c r="AD94" i="1"/>
  <c r="AE94" i="1"/>
  <c r="S95" i="1"/>
  <c r="T95" i="1"/>
  <c r="U95" i="1"/>
  <c r="W95" i="1"/>
  <c r="X95" i="1"/>
  <c r="Y95" i="1"/>
  <c r="Z95" i="1"/>
  <c r="AD95" i="1"/>
  <c r="AE95" i="1"/>
  <c r="S96" i="1"/>
  <c r="T96" i="1"/>
  <c r="U96" i="1"/>
  <c r="W96" i="1"/>
  <c r="X96" i="1"/>
  <c r="Y96" i="1"/>
  <c r="Z96" i="1"/>
  <c r="AD96" i="1"/>
  <c r="AE96" i="1"/>
  <c r="S97" i="1"/>
  <c r="T97" i="1"/>
  <c r="U97" i="1"/>
  <c r="W97" i="1"/>
  <c r="X97" i="1"/>
  <c r="Y97" i="1"/>
  <c r="Z97" i="1"/>
  <c r="AD97" i="1"/>
  <c r="AE97" i="1"/>
  <c r="S98" i="1"/>
  <c r="T98" i="1"/>
  <c r="U98" i="1"/>
  <c r="W98" i="1"/>
  <c r="X98" i="1"/>
  <c r="Y98" i="1"/>
  <c r="Z98" i="1"/>
  <c r="AD98" i="1"/>
  <c r="AE98" i="1"/>
  <c r="S99" i="1"/>
  <c r="T99" i="1"/>
  <c r="U99" i="1"/>
  <c r="W99" i="1"/>
  <c r="X99" i="1"/>
  <c r="Y99" i="1"/>
  <c r="Z99" i="1"/>
  <c r="AD99" i="1"/>
  <c r="AE99" i="1"/>
  <c r="S100" i="1"/>
  <c r="T100" i="1"/>
  <c r="U100" i="1"/>
  <c r="W100" i="1"/>
  <c r="X100" i="1"/>
  <c r="Y100" i="1"/>
  <c r="Z100" i="1"/>
  <c r="AD100" i="1"/>
  <c r="AE100" i="1"/>
  <c r="S101" i="1"/>
  <c r="T101" i="1"/>
  <c r="U101" i="1"/>
  <c r="W101" i="1"/>
  <c r="X101" i="1"/>
  <c r="Y101" i="1"/>
  <c r="Z101" i="1"/>
  <c r="AD101" i="1"/>
  <c r="AE101" i="1"/>
  <c r="S102" i="1"/>
  <c r="T102" i="1"/>
  <c r="U102" i="1"/>
  <c r="W102" i="1"/>
  <c r="X102" i="1"/>
  <c r="Y102" i="1"/>
  <c r="Z102" i="1"/>
  <c r="AD102" i="1"/>
  <c r="AE102" i="1"/>
  <c r="S103" i="1"/>
  <c r="T103" i="1"/>
  <c r="U103" i="1"/>
  <c r="W103" i="1"/>
  <c r="X103" i="1"/>
  <c r="Y103" i="1"/>
  <c r="Z103" i="1"/>
  <c r="AD103" i="1"/>
  <c r="AE103" i="1"/>
  <c r="S104" i="1"/>
  <c r="T104" i="1"/>
  <c r="U104" i="1"/>
  <c r="W104" i="1"/>
  <c r="X104" i="1"/>
  <c r="Y104" i="1"/>
  <c r="Z104" i="1"/>
  <c r="AD104" i="1"/>
  <c r="AE104" i="1"/>
  <c r="S105" i="1"/>
  <c r="T105" i="1"/>
  <c r="U105" i="1"/>
  <c r="W105" i="1"/>
  <c r="X105" i="1"/>
  <c r="Y105" i="1"/>
  <c r="Z105" i="1"/>
  <c r="AD105" i="1"/>
  <c r="AE105" i="1"/>
  <c r="S106" i="1"/>
  <c r="T106" i="1"/>
  <c r="U106" i="1"/>
  <c r="W106" i="1"/>
  <c r="X106" i="1"/>
  <c r="Y106" i="1"/>
  <c r="Z106" i="1"/>
  <c r="AD106" i="1"/>
  <c r="AE106" i="1"/>
  <c r="S107" i="1"/>
  <c r="T107" i="1"/>
  <c r="U107" i="1"/>
  <c r="W107" i="1"/>
  <c r="X107" i="1"/>
  <c r="Y107" i="1"/>
  <c r="Z107" i="1"/>
  <c r="AD107" i="1"/>
  <c r="AE107" i="1"/>
  <c r="S108" i="1"/>
  <c r="T108" i="1"/>
  <c r="U108" i="1"/>
  <c r="W108" i="1"/>
  <c r="X108" i="1"/>
  <c r="Y108" i="1"/>
  <c r="Z108" i="1"/>
  <c r="AD108" i="1"/>
  <c r="AE108" i="1"/>
  <c r="S109" i="1"/>
  <c r="T109" i="1"/>
  <c r="U109" i="1"/>
  <c r="W109" i="1"/>
  <c r="X109" i="1"/>
  <c r="Y109" i="1"/>
  <c r="Z109" i="1"/>
  <c r="AD109" i="1"/>
  <c r="AE109" i="1"/>
  <c r="S110" i="1"/>
  <c r="T110" i="1"/>
  <c r="U110" i="1"/>
  <c r="W110" i="1"/>
  <c r="X110" i="1"/>
  <c r="Y110" i="1"/>
  <c r="Z110" i="1"/>
  <c r="AD110" i="1"/>
  <c r="AE110" i="1"/>
  <c r="S111" i="1"/>
  <c r="T111" i="1"/>
  <c r="U111" i="1"/>
  <c r="W111" i="1"/>
  <c r="X111" i="1"/>
  <c r="Y111" i="1"/>
  <c r="Z111" i="1"/>
  <c r="AD111" i="1"/>
  <c r="AE111" i="1"/>
  <c r="S112" i="1"/>
  <c r="T112" i="1"/>
  <c r="U112" i="1"/>
  <c r="W112" i="1"/>
  <c r="X112" i="1"/>
  <c r="Y112" i="1"/>
  <c r="Z112" i="1"/>
  <c r="AD112" i="1"/>
  <c r="AE112" i="1"/>
  <c r="S113" i="1"/>
  <c r="T113" i="1"/>
  <c r="U113" i="1"/>
  <c r="W113" i="1"/>
  <c r="X113" i="1"/>
  <c r="Y113" i="1"/>
  <c r="Z113" i="1"/>
  <c r="AD113" i="1"/>
  <c r="AE113" i="1"/>
  <c r="S114" i="1"/>
  <c r="T114" i="1"/>
  <c r="U114" i="1"/>
  <c r="W114" i="1"/>
  <c r="X114" i="1"/>
  <c r="Y114" i="1"/>
  <c r="Z114" i="1"/>
  <c r="AD114" i="1"/>
  <c r="AE114" i="1"/>
  <c r="S115" i="1"/>
  <c r="T115" i="1"/>
  <c r="U115" i="1"/>
  <c r="W115" i="1"/>
  <c r="X115" i="1"/>
  <c r="Y115" i="1"/>
  <c r="Z115" i="1"/>
  <c r="AD115" i="1"/>
  <c r="AE115" i="1"/>
  <c r="S116" i="1"/>
  <c r="T116" i="1"/>
  <c r="U116" i="1"/>
  <c r="W116" i="1"/>
  <c r="X116" i="1"/>
  <c r="Y116" i="1"/>
  <c r="Z116" i="1"/>
  <c r="AD116" i="1"/>
  <c r="AE116" i="1"/>
  <c r="S117" i="1"/>
  <c r="T117" i="1"/>
  <c r="U117" i="1"/>
  <c r="W117" i="1"/>
  <c r="X117" i="1"/>
  <c r="Y117" i="1"/>
  <c r="Z117" i="1"/>
  <c r="AD117" i="1"/>
  <c r="AE117" i="1"/>
  <c r="S118" i="1"/>
  <c r="T118" i="1"/>
  <c r="U118" i="1"/>
  <c r="W118" i="1"/>
  <c r="X118" i="1"/>
  <c r="Y118" i="1"/>
  <c r="Z118" i="1"/>
  <c r="AD118" i="1"/>
  <c r="AE118" i="1"/>
  <c r="S119" i="1"/>
  <c r="T119" i="1"/>
  <c r="U119" i="1"/>
  <c r="W119" i="1"/>
  <c r="X119" i="1"/>
  <c r="Y119" i="1"/>
  <c r="Z119" i="1"/>
  <c r="AD119" i="1"/>
  <c r="AE119" i="1"/>
  <c r="S120" i="1"/>
  <c r="T120" i="1"/>
  <c r="U120" i="1"/>
  <c r="W120" i="1"/>
  <c r="X120" i="1"/>
  <c r="Y120" i="1"/>
  <c r="Z120" i="1"/>
  <c r="AD120" i="1"/>
  <c r="AE120" i="1"/>
  <c r="S121" i="1"/>
  <c r="T121" i="1"/>
  <c r="U121" i="1"/>
  <c r="W121" i="1"/>
  <c r="X121" i="1"/>
  <c r="Y121" i="1"/>
  <c r="Z121" i="1"/>
  <c r="AD121" i="1"/>
  <c r="AE121" i="1"/>
  <c r="S122" i="1"/>
  <c r="T122" i="1"/>
  <c r="U122" i="1"/>
  <c r="W122" i="1"/>
  <c r="X122" i="1"/>
  <c r="Y122" i="1"/>
  <c r="Z122" i="1"/>
  <c r="AD122" i="1"/>
  <c r="AE122" i="1"/>
  <c r="S123" i="1"/>
  <c r="T123" i="1"/>
  <c r="U123" i="1"/>
  <c r="W123" i="1"/>
  <c r="X123" i="1"/>
  <c r="Y123" i="1"/>
  <c r="Z123" i="1"/>
  <c r="AD123" i="1"/>
  <c r="AE123" i="1"/>
  <c r="S124" i="1"/>
  <c r="T124" i="1"/>
  <c r="U124" i="1"/>
  <c r="W124" i="1"/>
  <c r="X124" i="1"/>
  <c r="Y124" i="1"/>
  <c r="Z124" i="1"/>
  <c r="AD124" i="1"/>
  <c r="AE124" i="1"/>
  <c r="S125" i="1"/>
  <c r="T125" i="1"/>
  <c r="U125" i="1"/>
  <c r="W125" i="1"/>
  <c r="X125" i="1"/>
  <c r="Y125" i="1"/>
  <c r="Z125" i="1"/>
  <c r="AD125" i="1"/>
  <c r="AE125" i="1"/>
  <c r="S126" i="1"/>
  <c r="T126" i="1"/>
  <c r="U126" i="1"/>
  <c r="W126" i="1"/>
  <c r="X126" i="1"/>
  <c r="Y126" i="1"/>
  <c r="Z126" i="1"/>
  <c r="AD126" i="1"/>
  <c r="AE126" i="1"/>
  <c r="S127" i="1"/>
  <c r="T127" i="1"/>
  <c r="U127" i="1"/>
  <c r="W127" i="1"/>
  <c r="X127" i="1"/>
  <c r="Y127" i="1"/>
  <c r="Z127" i="1"/>
  <c r="AD127" i="1"/>
  <c r="AE127" i="1"/>
  <c r="S128" i="1"/>
  <c r="T128" i="1"/>
  <c r="U128" i="1"/>
  <c r="W128" i="1"/>
  <c r="X128" i="1"/>
  <c r="Y128" i="1"/>
  <c r="Z128" i="1"/>
  <c r="AD128" i="1"/>
  <c r="AE128" i="1"/>
  <c r="S129" i="1"/>
  <c r="T129" i="1"/>
  <c r="U129" i="1"/>
  <c r="W129" i="1"/>
  <c r="X129" i="1"/>
  <c r="Y129" i="1"/>
  <c r="Z129" i="1"/>
  <c r="AD129" i="1"/>
  <c r="AE129" i="1"/>
  <c r="S130" i="1"/>
  <c r="T130" i="1"/>
  <c r="U130" i="1"/>
  <c r="W130" i="1"/>
  <c r="X130" i="1"/>
  <c r="Y130" i="1"/>
  <c r="Z130" i="1"/>
  <c r="AD130" i="1"/>
  <c r="AE130" i="1"/>
  <c r="S131" i="1"/>
  <c r="T131" i="1"/>
  <c r="U131" i="1"/>
  <c r="W131" i="1"/>
  <c r="X131" i="1"/>
  <c r="Y131" i="1"/>
  <c r="Z131" i="1"/>
  <c r="AD131" i="1"/>
  <c r="AE131" i="1"/>
  <c r="S132" i="1"/>
  <c r="T132" i="1"/>
  <c r="U132" i="1"/>
  <c r="W132" i="1"/>
  <c r="X132" i="1"/>
  <c r="Y132" i="1"/>
  <c r="Z132" i="1"/>
  <c r="AD132" i="1"/>
  <c r="AE132" i="1"/>
  <c r="S133" i="1"/>
  <c r="T133" i="1"/>
  <c r="U133" i="1"/>
  <c r="W133" i="1"/>
  <c r="X133" i="1"/>
  <c r="Y133" i="1"/>
  <c r="Z133" i="1"/>
  <c r="AD133" i="1"/>
  <c r="AE133" i="1"/>
  <c r="S134" i="1"/>
  <c r="T134" i="1"/>
  <c r="U134" i="1"/>
  <c r="W134" i="1"/>
  <c r="X134" i="1"/>
  <c r="Y134" i="1"/>
  <c r="Z134" i="1"/>
  <c r="AD134" i="1"/>
  <c r="AE134" i="1"/>
  <c r="S135" i="1"/>
  <c r="T135" i="1"/>
  <c r="U135" i="1"/>
  <c r="W135" i="1"/>
  <c r="X135" i="1"/>
  <c r="Y135" i="1"/>
  <c r="Z135" i="1"/>
  <c r="AD135" i="1"/>
  <c r="AE135" i="1"/>
  <c r="S136" i="1"/>
  <c r="T136" i="1"/>
  <c r="U136" i="1"/>
  <c r="W136" i="1"/>
  <c r="X136" i="1"/>
  <c r="Y136" i="1"/>
  <c r="Z136" i="1"/>
  <c r="AD136" i="1"/>
  <c r="AE136" i="1"/>
  <c r="S137" i="1"/>
  <c r="T137" i="1"/>
  <c r="U137" i="1"/>
  <c r="W137" i="1"/>
  <c r="X137" i="1"/>
  <c r="Y137" i="1"/>
  <c r="Z137" i="1"/>
  <c r="AD137" i="1"/>
  <c r="AE137" i="1"/>
  <c r="S138" i="1"/>
  <c r="T138" i="1"/>
  <c r="U138" i="1"/>
  <c r="W138" i="1"/>
  <c r="X138" i="1"/>
  <c r="Y138" i="1"/>
  <c r="Z138" i="1"/>
  <c r="AD138" i="1"/>
  <c r="AE138" i="1"/>
  <c r="S139" i="1"/>
  <c r="T139" i="1"/>
  <c r="U139" i="1"/>
  <c r="W139" i="1"/>
  <c r="X139" i="1"/>
  <c r="Y139" i="1"/>
  <c r="Z139" i="1"/>
  <c r="AD139" i="1"/>
  <c r="AE139" i="1"/>
  <c r="S140" i="1"/>
  <c r="T140" i="1"/>
  <c r="U140" i="1"/>
  <c r="W140" i="1"/>
  <c r="X140" i="1"/>
  <c r="Y140" i="1"/>
  <c r="Z140" i="1"/>
  <c r="AD140" i="1"/>
  <c r="AE140" i="1"/>
  <c r="S141" i="1"/>
  <c r="T141" i="1"/>
  <c r="U141" i="1"/>
  <c r="W141" i="1"/>
  <c r="X141" i="1"/>
  <c r="Y141" i="1"/>
  <c r="Z141" i="1"/>
  <c r="AD141" i="1"/>
  <c r="AE141" i="1"/>
  <c r="S142" i="1"/>
  <c r="T142" i="1"/>
  <c r="U142" i="1"/>
  <c r="W142" i="1"/>
  <c r="X142" i="1"/>
  <c r="Y142" i="1"/>
  <c r="Z142" i="1"/>
  <c r="AD142" i="1"/>
  <c r="AE142" i="1"/>
  <c r="S143" i="1"/>
  <c r="T143" i="1"/>
  <c r="U143" i="1"/>
  <c r="W143" i="1"/>
  <c r="X143" i="1"/>
  <c r="Y143" i="1"/>
  <c r="Z143" i="1"/>
  <c r="AD143" i="1"/>
  <c r="AE143" i="1"/>
  <c r="S144" i="1"/>
  <c r="T144" i="1"/>
  <c r="U144" i="1"/>
  <c r="W144" i="1"/>
  <c r="X144" i="1"/>
  <c r="Y144" i="1"/>
  <c r="Z144" i="1"/>
  <c r="AD144" i="1"/>
  <c r="AE144" i="1"/>
  <c r="S145" i="1"/>
  <c r="T145" i="1"/>
  <c r="U145" i="1"/>
  <c r="W145" i="1"/>
  <c r="X145" i="1"/>
  <c r="Y145" i="1"/>
  <c r="Z145" i="1"/>
  <c r="AD145" i="1"/>
  <c r="AE145" i="1"/>
  <c r="S146" i="1"/>
  <c r="T146" i="1"/>
  <c r="U146" i="1"/>
  <c r="W146" i="1"/>
  <c r="X146" i="1"/>
  <c r="Y146" i="1"/>
  <c r="Z146" i="1"/>
  <c r="AD146" i="1"/>
  <c r="AE146" i="1"/>
  <c r="S147" i="1"/>
  <c r="T147" i="1"/>
  <c r="U147" i="1"/>
  <c r="W147" i="1"/>
  <c r="X147" i="1"/>
  <c r="Y147" i="1"/>
  <c r="Z147" i="1"/>
  <c r="AD147" i="1"/>
  <c r="AE147" i="1"/>
  <c r="S148" i="1"/>
  <c r="T148" i="1"/>
  <c r="U148" i="1"/>
  <c r="W148" i="1"/>
  <c r="X148" i="1"/>
  <c r="Y148" i="1"/>
  <c r="Z148" i="1"/>
  <c r="AD148" i="1"/>
  <c r="AE148" i="1"/>
  <c r="S149" i="1"/>
  <c r="T149" i="1"/>
  <c r="U149" i="1"/>
  <c r="W149" i="1"/>
  <c r="X149" i="1"/>
  <c r="Y149" i="1"/>
  <c r="Z149" i="1"/>
  <c r="AD149" i="1"/>
  <c r="AE149" i="1"/>
  <c r="S150" i="1"/>
  <c r="T150" i="1"/>
  <c r="U150" i="1"/>
  <c r="W150" i="1"/>
  <c r="X150" i="1"/>
  <c r="Y150" i="1"/>
  <c r="Z150" i="1"/>
  <c r="AD150" i="1"/>
  <c r="AE150" i="1"/>
  <c r="S151" i="1"/>
  <c r="T151" i="1"/>
  <c r="U151" i="1"/>
  <c r="W151" i="1"/>
  <c r="X151" i="1"/>
  <c r="Y151" i="1"/>
  <c r="Z151" i="1"/>
  <c r="AD151" i="1"/>
  <c r="AE151" i="1"/>
  <c r="S152" i="1"/>
  <c r="T152" i="1"/>
  <c r="U152" i="1"/>
  <c r="W152" i="1"/>
  <c r="X152" i="1"/>
  <c r="Y152" i="1"/>
  <c r="Z152" i="1"/>
  <c r="AD152" i="1"/>
  <c r="AE152" i="1"/>
  <c r="S153" i="1"/>
  <c r="T153" i="1"/>
  <c r="U153" i="1"/>
  <c r="W153" i="1"/>
  <c r="X153" i="1"/>
  <c r="Y153" i="1"/>
  <c r="Z153" i="1"/>
  <c r="AD153" i="1"/>
  <c r="AE153" i="1"/>
  <c r="S154" i="1"/>
  <c r="T154" i="1"/>
  <c r="U154" i="1"/>
  <c r="W154" i="1"/>
  <c r="X154" i="1"/>
  <c r="Y154" i="1"/>
  <c r="Z154" i="1"/>
  <c r="AD154" i="1"/>
  <c r="AE154" i="1"/>
  <c r="S155" i="1"/>
  <c r="T155" i="1"/>
  <c r="U155" i="1"/>
  <c r="W155" i="1"/>
  <c r="X155" i="1"/>
  <c r="Y155" i="1"/>
  <c r="Z155" i="1"/>
  <c r="AD155" i="1"/>
  <c r="AE155" i="1"/>
  <c r="S156" i="1"/>
  <c r="T156" i="1"/>
  <c r="U156" i="1"/>
  <c r="W156" i="1"/>
  <c r="X156" i="1"/>
  <c r="Y156" i="1"/>
  <c r="Z156" i="1"/>
  <c r="AD156" i="1"/>
  <c r="AE156" i="1"/>
  <c r="S157" i="1"/>
  <c r="T157" i="1"/>
  <c r="U157" i="1"/>
  <c r="W157" i="1"/>
  <c r="X157" i="1"/>
  <c r="Y157" i="1"/>
  <c r="Z157" i="1"/>
  <c r="AD157" i="1"/>
  <c r="AE157" i="1"/>
  <c r="S158" i="1"/>
  <c r="T158" i="1"/>
  <c r="U158" i="1"/>
  <c r="W158" i="1"/>
  <c r="X158" i="1"/>
  <c r="Y158" i="1"/>
  <c r="Z158" i="1"/>
  <c r="AD158" i="1"/>
  <c r="AE158" i="1"/>
  <c r="S159" i="1"/>
  <c r="T159" i="1"/>
  <c r="U159" i="1"/>
  <c r="W159" i="1"/>
  <c r="X159" i="1"/>
  <c r="Y159" i="1"/>
  <c r="Z159" i="1"/>
  <c r="AD159" i="1"/>
  <c r="AE159" i="1"/>
  <c r="S160" i="1"/>
  <c r="T160" i="1"/>
  <c r="U160" i="1"/>
  <c r="W160" i="1"/>
  <c r="X160" i="1"/>
  <c r="Y160" i="1"/>
  <c r="Z160" i="1"/>
  <c r="AD160" i="1"/>
  <c r="AE160" i="1"/>
  <c r="S161" i="1"/>
  <c r="T161" i="1"/>
  <c r="U161" i="1"/>
  <c r="W161" i="1"/>
  <c r="X161" i="1"/>
  <c r="Y161" i="1"/>
  <c r="Z161" i="1"/>
  <c r="AD161" i="1"/>
  <c r="AE161" i="1"/>
  <c r="S162" i="1"/>
  <c r="T162" i="1"/>
  <c r="U162" i="1"/>
  <c r="W162" i="1"/>
  <c r="X162" i="1"/>
  <c r="Y162" i="1"/>
  <c r="Z162" i="1"/>
  <c r="AD162" i="1"/>
  <c r="AE162" i="1"/>
  <c r="S163" i="1"/>
  <c r="T163" i="1"/>
  <c r="U163" i="1"/>
  <c r="W163" i="1"/>
  <c r="X163" i="1"/>
  <c r="Y163" i="1"/>
  <c r="Z163" i="1"/>
  <c r="AD163" i="1"/>
  <c r="AE163" i="1"/>
  <c r="S164" i="1"/>
  <c r="T164" i="1"/>
  <c r="U164" i="1"/>
  <c r="W164" i="1"/>
  <c r="X164" i="1"/>
  <c r="Y164" i="1"/>
  <c r="Z164" i="1"/>
  <c r="AD164" i="1"/>
  <c r="AE164" i="1"/>
  <c r="S165" i="1"/>
  <c r="T165" i="1"/>
  <c r="U165" i="1"/>
  <c r="W165" i="1"/>
  <c r="X165" i="1"/>
  <c r="Y165" i="1"/>
  <c r="Z165" i="1"/>
  <c r="AD165" i="1"/>
  <c r="AE165" i="1"/>
  <c r="S166" i="1"/>
  <c r="T166" i="1"/>
  <c r="U166" i="1"/>
  <c r="W166" i="1"/>
  <c r="X166" i="1"/>
  <c r="Y166" i="1"/>
  <c r="Z166" i="1"/>
  <c r="AD166" i="1"/>
  <c r="AE166" i="1"/>
  <c r="S167" i="1"/>
  <c r="T167" i="1"/>
  <c r="U167" i="1"/>
  <c r="W167" i="1"/>
  <c r="X167" i="1"/>
  <c r="Y167" i="1"/>
  <c r="Z167" i="1"/>
  <c r="AD167" i="1"/>
  <c r="AE167" i="1"/>
  <c r="S168" i="1"/>
  <c r="T168" i="1"/>
  <c r="U168" i="1"/>
  <c r="W168" i="1"/>
  <c r="X168" i="1"/>
  <c r="Y168" i="1"/>
  <c r="Z168" i="1"/>
  <c r="AD168" i="1"/>
  <c r="AE168" i="1"/>
  <c r="S169" i="1"/>
  <c r="T169" i="1"/>
  <c r="U169" i="1"/>
  <c r="W169" i="1"/>
  <c r="X169" i="1"/>
  <c r="Y169" i="1"/>
  <c r="Z169" i="1"/>
  <c r="AD169" i="1"/>
  <c r="AE169" i="1"/>
  <c r="S170" i="1"/>
  <c r="T170" i="1"/>
  <c r="U170" i="1"/>
  <c r="W170" i="1"/>
  <c r="X170" i="1"/>
  <c r="Y170" i="1"/>
  <c r="Z170" i="1"/>
  <c r="AD170" i="1"/>
  <c r="AE170" i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" i="2"/>
  <c r="C2" i="5" l="1"/>
  <c r="AC30" i="5"/>
  <c r="AC38" i="5"/>
  <c r="AC46" i="5"/>
  <c r="AC54" i="5"/>
  <c r="AC62" i="5"/>
  <c r="AC70" i="5"/>
  <c r="AC78" i="5"/>
  <c r="AC86" i="5"/>
  <c r="AC94" i="5"/>
  <c r="AC102" i="5"/>
  <c r="AC110" i="5"/>
  <c r="AC118" i="5"/>
  <c r="AC126" i="5"/>
  <c r="AC134" i="5"/>
  <c r="AC142" i="5"/>
  <c r="AC150" i="5"/>
  <c r="AC158" i="5"/>
  <c r="AC166" i="5"/>
  <c r="AA130" i="5"/>
  <c r="AA138" i="5"/>
  <c r="AA146" i="5"/>
  <c r="AA154" i="5"/>
  <c r="AA162" i="5"/>
  <c r="AA170" i="5"/>
  <c r="C9" i="5"/>
  <c r="AA28" i="5"/>
  <c r="AA36" i="5"/>
  <c r="AA44" i="5"/>
  <c r="AB47" i="5"/>
  <c r="AA52" i="5"/>
  <c r="AB55" i="5"/>
  <c r="AA60" i="5"/>
  <c r="AB63" i="5"/>
  <c r="AA68" i="5"/>
  <c r="AB71" i="5"/>
  <c r="AA76" i="5"/>
  <c r="AB79" i="5"/>
  <c r="AA84" i="5"/>
  <c r="AB87" i="5"/>
  <c r="AA92" i="5"/>
  <c r="AB95" i="5"/>
  <c r="AA100" i="5"/>
  <c r="AB103" i="5"/>
  <c r="AA108" i="5"/>
  <c r="AA116" i="5"/>
  <c r="AA124" i="5"/>
  <c r="AA132" i="5"/>
  <c r="AA140" i="5"/>
  <c r="AA148" i="5"/>
  <c r="AA156" i="5"/>
  <c r="AA164" i="5"/>
  <c r="AA25" i="5"/>
  <c r="AB28" i="5"/>
  <c r="AA33" i="5"/>
  <c r="AB36" i="5"/>
  <c r="AA41" i="5"/>
  <c r="AB44" i="5"/>
  <c r="AA49" i="5"/>
  <c r="AB52" i="5"/>
  <c r="AA57" i="5"/>
  <c r="AB60" i="5"/>
  <c r="AA65" i="5"/>
  <c r="AB68" i="5"/>
  <c r="AA73" i="5"/>
  <c r="AB76" i="5"/>
  <c r="AA81" i="5"/>
  <c r="AB84" i="5"/>
  <c r="AA89" i="5"/>
  <c r="AB92" i="5"/>
  <c r="AA97" i="5"/>
  <c r="AB100" i="5"/>
  <c r="AA105" i="5"/>
  <c r="AB108" i="5"/>
  <c r="AA113" i="5"/>
  <c r="AB116" i="5"/>
  <c r="AA121" i="5"/>
  <c r="AB124" i="5"/>
  <c r="AA129" i="5"/>
  <c r="AB132" i="5"/>
  <c r="AA137" i="5"/>
  <c r="AB140" i="5"/>
  <c r="AA145" i="5"/>
  <c r="AB148" i="5"/>
  <c r="AA153" i="5"/>
  <c r="AB156" i="5"/>
  <c r="AA161" i="5"/>
  <c r="AB164" i="5"/>
  <c r="AA169" i="5"/>
  <c r="AB25" i="5"/>
  <c r="AA30" i="5"/>
  <c r="AB33" i="5"/>
  <c r="AA38" i="5"/>
  <c r="AB41" i="5"/>
  <c r="AA46" i="5"/>
  <c r="AB49" i="5"/>
  <c r="AA54" i="5"/>
  <c r="AB57" i="5"/>
  <c r="AA62" i="5"/>
  <c r="AB65" i="5"/>
  <c r="AA70" i="5"/>
  <c r="AB73" i="5"/>
  <c r="AA78" i="5"/>
  <c r="AB81" i="5"/>
  <c r="AA86" i="5"/>
  <c r="AB89" i="5"/>
  <c r="AA94" i="5"/>
  <c r="AB97" i="5"/>
  <c r="AA102" i="5"/>
  <c r="AB105" i="5"/>
  <c r="AA110" i="5"/>
  <c r="AB113" i="5"/>
  <c r="AA118" i="5"/>
  <c r="AB121" i="5"/>
  <c r="AA126" i="5"/>
  <c r="AB129" i="5"/>
  <c r="AA134" i="5"/>
  <c r="AB137" i="5"/>
  <c r="AA142" i="5"/>
  <c r="AB145" i="5"/>
  <c r="AA150" i="5"/>
  <c r="AB153" i="5"/>
  <c r="AA158" i="5"/>
  <c r="AB161" i="5"/>
  <c r="AA166" i="5"/>
  <c r="AB169" i="5"/>
  <c r="AC30" i="4"/>
  <c r="AC38" i="4"/>
  <c r="AC46" i="4"/>
  <c r="AA48" i="4"/>
  <c r="AC54" i="4"/>
  <c r="AA56" i="4"/>
  <c r="AC62" i="4"/>
  <c r="AA64" i="4"/>
  <c r="AC70" i="4"/>
  <c r="AA72" i="4"/>
  <c r="AC78" i="4"/>
  <c r="AA80" i="4"/>
  <c r="AC86" i="4"/>
  <c r="AA88" i="4"/>
  <c r="AC94" i="4"/>
  <c r="AA96" i="4"/>
  <c r="AC102" i="4"/>
  <c r="AA104" i="4"/>
  <c r="AC110" i="4"/>
  <c r="AA112" i="4"/>
  <c r="AC118" i="4"/>
  <c r="AA120" i="4"/>
  <c r="AC126" i="4"/>
  <c r="AA128" i="4"/>
  <c r="AC134" i="4"/>
  <c r="AA136" i="4"/>
  <c r="AC142" i="4"/>
  <c r="AC150" i="4"/>
  <c r="AC158" i="4"/>
  <c r="AC166" i="4"/>
  <c r="AB157" i="4"/>
  <c r="AB165" i="4"/>
  <c r="AA170" i="4"/>
  <c r="C9" i="4"/>
  <c r="AA28" i="4"/>
  <c r="AA36" i="4"/>
  <c r="AA164" i="4"/>
  <c r="AA25" i="4"/>
  <c r="AB28" i="4"/>
  <c r="AA33" i="4"/>
  <c r="AB36" i="4"/>
  <c r="AA41" i="4"/>
  <c r="AB44" i="4"/>
  <c r="AA49" i="4"/>
  <c r="AB52" i="4"/>
  <c r="AA57" i="4"/>
  <c r="AB60" i="4"/>
  <c r="AA65" i="4"/>
  <c r="AB68" i="4"/>
  <c r="AA73" i="4"/>
  <c r="AB76" i="4"/>
  <c r="AA81" i="4"/>
  <c r="AB84" i="4"/>
  <c r="AA89" i="4"/>
  <c r="AB92" i="4"/>
  <c r="AA97" i="4"/>
  <c r="AB100" i="4"/>
  <c r="AA105" i="4"/>
  <c r="AB108" i="4"/>
  <c r="AA113" i="4"/>
  <c r="AB116" i="4"/>
  <c r="AA121" i="4"/>
  <c r="AB124" i="4"/>
  <c r="AA129" i="4"/>
  <c r="AB132" i="4"/>
  <c r="AA137" i="4"/>
  <c r="AB140" i="4"/>
  <c r="AA145" i="4"/>
  <c r="AB148" i="4"/>
  <c r="AA153" i="4"/>
  <c r="AB156" i="4"/>
  <c r="AA161" i="4"/>
  <c r="AB164" i="4"/>
  <c r="AA169" i="4"/>
  <c r="AB25" i="4"/>
  <c r="AA30" i="4"/>
  <c r="AB33" i="4"/>
  <c r="AA38" i="4"/>
  <c r="AB41" i="4"/>
  <c r="AA46" i="4"/>
  <c r="AB49" i="4"/>
  <c r="AA54" i="4"/>
  <c r="AB57" i="4"/>
  <c r="AA62" i="4"/>
  <c r="AB65" i="4"/>
  <c r="AA70" i="4"/>
  <c r="AB73" i="4"/>
  <c r="AA78" i="4"/>
  <c r="AB81" i="4"/>
  <c r="AA86" i="4"/>
  <c r="AB89" i="4"/>
  <c r="AA94" i="4"/>
  <c r="AB97" i="4"/>
  <c r="AA102" i="4"/>
  <c r="AB105" i="4"/>
  <c r="AA110" i="4"/>
  <c r="AB113" i="4"/>
  <c r="AA118" i="4"/>
  <c r="AB121" i="4"/>
  <c r="AA126" i="4"/>
  <c r="AB129" i="4"/>
  <c r="AA134" i="4"/>
  <c r="AB137" i="4"/>
  <c r="AA142" i="4"/>
  <c r="AB145" i="4"/>
  <c r="AA150" i="4"/>
  <c r="AA158" i="4"/>
  <c r="AA166" i="4"/>
  <c r="G8" i="3" a="1"/>
  <c r="G8" i="3" s="1"/>
  <c r="C8" i="3"/>
  <c r="H8" i="3" a="1"/>
  <c r="H8" i="3" s="1"/>
  <c r="I8" i="3" a="1"/>
  <c r="I8" i="3" s="1"/>
  <c r="G2" i="3" a="1"/>
  <c r="G2" i="3" s="1"/>
  <c r="H5" i="3" a="1"/>
  <c r="H5" i="3" s="1"/>
  <c r="AA26" i="3"/>
  <c r="AA66" i="3"/>
  <c r="AA74" i="3"/>
  <c r="AA82" i="3"/>
  <c r="AA90" i="3"/>
  <c r="AA98" i="3"/>
  <c r="AA106" i="3"/>
  <c r="AA114" i="3"/>
  <c r="AA122" i="3"/>
  <c r="AA162" i="3"/>
  <c r="AA170" i="3"/>
  <c r="H2" i="3" a="1"/>
  <c r="H2" i="3" s="1"/>
  <c r="C9" i="3"/>
  <c r="AA28" i="3"/>
  <c r="AA36" i="3"/>
  <c r="AA44" i="3"/>
  <c r="AA52" i="3"/>
  <c r="AA60" i="3"/>
  <c r="AA68" i="3"/>
  <c r="AA76" i="3"/>
  <c r="AA84" i="3"/>
  <c r="AA92" i="3"/>
  <c r="AA100" i="3"/>
  <c r="AA108" i="3"/>
  <c r="AA116" i="3"/>
  <c r="AA124" i="3"/>
  <c r="AA132" i="3"/>
  <c r="AA140" i="3"/>
  <c r="AA148" i="3"/>
  <c r="AA156" i="3"/>
  <c r="AB159" i="3"/>
  <c r="AA164" i="3"/>
  <c r="AB167" i="3"/>
  <c r="AA25" i="3"/>
  <c r="AB28" i="3"/>
  <c r="AA33" i="3"/>
  <c r="AB36" i="3"/>
  <c r="AA41" i="3"/>
  <c r="AB44" i="3"/>
  <c r="AA49" i="3"/>
  <c r="AB52" i="3"/>
  <c r="AA57" i="3"/>
  <c r="AB60" i="3"/>
  <c r="AA65" i="3"/>
  <c r="AB68" i="3"/>
  <c r="AA73" i="3"/>
  <c r="AB76" i="3"/>
  <c r="AA81" i="3"/>
  <c r="AB84" i="3"/>
  <c r="AA89" i="3"/>
  <c r="AB92" i="3"/>
  <c r="AA97" i="3"/>
  <c r="AB100" i="3"/>
  <c r="AA105" i="3"/>
  <c r="AB108" i="3"/>
  <c r="AA113" i="3"/>
  <c r="AB116" i="3"/>
  <c r="AA121" i="3"/>
  <c r="AB124" i="3"/>
  <c r="AA129" i="3"/>
  <c r="AB132" i="3"/>
  <c r="AA137" i="3"/>
  <c r="AB140" i="3"/>
  <c r="AA145" i="3"/>
  <c r="AB148" i="3"/>
  <c r="AA153" i="3"/>
  <c r="AB156" i="3"/>
  <c r="AA161" i="3"/>
  <c r="AB164" i="3"/>
  <c r="AA169" i="3"/>
  <c r="AB25" i="3"/>
  <c r="AA30" i="3"/>
  <c r="AB33" i="3"/>
  <c r="AA38" i="3"/>
  <c r="AB41" i="3"/>
  <c r="AA46" i="3"/>
  <c r="AB49" i="3"/>
  <c r="AA54" i="3"/>
  <c r="AB57" i="3"/>
  <c r="AA62" i="3"/>
  <c r="AB65" i="3"/>
  <c r="AA70" i="3"/>
  <c r="AB73" i="3"/>
  <c r="AA78" i="3"/>
  <c r="AB81" i="3"/>
  <c r="AA86" i="3"/>
  <c r="AB89" i="3"/>
  <c r="AA94" i="3"/>
  <c r="AB97" i="3"/>
  <c r="AA102" i="3"/>
  <c r="AB105" i="3"/>
  <c r="AA110" i="3"/>
  <c r="AB113" i="3"/>
  <c r="AA118" i="3"/>
  <c r="AB121" i="3"/>
  <c r="AA126" i="3"/>
  <c r="AB129" i="3"/>
  <c r="AA134" i="3"/>
  <c r="AB137" i="3"/>
  <c r="AA142" i="3"/>
  <c r="AB145" i="3"/>
  <c r="AA150" i="3"/>
  <c r="AB153" i="3"/>
  <c r="AA158" i="3"/>
  <c r="AB161" i="3"/>
  <c r="AA166" i="3"/>
  <c r="AB169" i="3"/>
  <c r="C1" i="1"/>
  <c r="C8" i="5" l="1"/>
  <c r="C8" i="4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23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24" i="1"/>
  <c r="T25" i="1"/>
  <c r="T26" i="1"/>
  <c r="T27" i="1"/>
  <c r="T28" i="1"/>
  <c r="T29" i="1"/>
  <c r="T30" i="1"/>
  <c r="T31" i="1"/>
  <c r="T32" i="1"/>
  <c r="T33" i="1"/>
  <c r="T34" i="1"/>
  <c r="T35" i="1"/>
  <c r="T23" i="1"/>
  <c r="U23" i="1"/>
  <c r="W23" i="1"/>
  <c r="X23" i="1"/>
  <c r="Y23" i="1"/>
  <c r="Z23" i="1"/>
  <c r="AD23" i="1"/>
  <c r="AE23" i="1"/>
  <c r="U24" i="1"/>
  <c r="W24" i="1"/>
  <c r="X24" i="1"/>
  <c r="Y24" i="1"/>
  <c r="Z24" i="1"/>
  <c r="AD24" i="1"/>
  <c r="AE24" i="1"/>
  <c r="U25" i="1"/>
  <c r="W25" i="1"/>
  <c r="X25" i="1"/>
  <c r="Y25" i="1"/>
  <c r="Z25" i="1"/>
  <c r="AD25" i="1"/>
  <c r="AE25" i="1"/>
  <c r="U26" i="1"/>
  <c r="W26" i="1"/>
  <c r="X26" i="1"/>
  <c r="Y26" i="1"/>
  <c r="Z26" i="1"/>
  <c r="AD26" i="1"/>
  <c r="AE26" i="1"/>
  <c r="U27" i="1"/>
  <c r="W27" i="1"/>
  <c r="X27" i="1"/>
  <c r="Y27" i="1"/>
  <c r="Z27" i="1"/>
  <c r="AD27" i="1"/>
  <c r="AE27" i="1"/>
  <c r="U28" i="1"/>
  <c r="W28" i="1"/>
  <c r="X28" i="1"/>
  <c r="Y28" i="1"/>
  <c r="Z28" i="1"/>
  <c r="AD28" i="1"/>
  <c r="AE28" i="1"/>
  <c r="U29" i="1"/>
  <c r="W29" i="1"/>
  <c r="X29" i="1"/>
  <c r="Y29" i="1"/>
  <c r="Z29" i="1"/>
  <c r="AD29" i="1"/>
  <c r="AE29" i="1"/>
  <c r="U30" i="1"/>
  <c r="W30" i="1"/>
  <c r="X30" i="1"/>
  <c r="Y30" i="1"/>
  <c r="Z30" i="1"/>
  <c r="AD30" i="1"/>
  <c r="AE30" i="1"/>
  <c r="U31" i="1"/>
  <c r="W31" i="1"/>
  <c r="X31" i="1"/>
  <c r="Y31" i="1"/>
  <c r="Z31" i="1"/>
  <c r="AD31" i="1"/>
  <c r="AE31" i="1"/>
  <c r="U32" i="1"/>
  <c r="W32" i="1"/>
  <c r="X32" i="1"/>
  <c r="Y32" i="1"/>
  <c r="Z32" i="1"/>
  <c r="AD32" i="1"/>
  <c r="AE32" i="1"/>
  <c r="U33" i="1"/>
  <c r="W33" i="1"/>
  <c r="X33" i="1"/>
  <c r="Y33" i="1"/>
  <c r="Z33" i="1"/>
  <c r="AD33" i="1"/>
  <c r="AE33" i="1"/>
  <c r="U34" i="1"/>
  <c r="W34" i="1"/>
  <c r="X34" i="1"/>
  <c r="Y34" i="1"/>
  <c r="Z34" i="1"/>
  <c r="AD34" i="1"/>
  <c r="AE34" i="1"/>
  <c r="U35" i="1"/>
  <c r="W35" i="1"/>
  <c r="X35" i="1"/>
  <c r="Y35" i="1"/>
  <c r="Z35" i="1"/>
  <c r="AD35" i="1"/>
  <c r="AE35" i="1"/>
  <c r="U36" i="1"/>
  <c r="W36" i="1"/>
  <c r="X36" i="1"/>
  <c r="Y36" i="1"/>
  <c r="Z36" i="1"/>
  <c r="AD36" i="1"/>
  <c r="AE36" i="1"/>
  <c r="U37" i="1"/>
  <c r="W37" i="1"/>
  <c r="X37" i="1"/>
  <c r="Y37" i="1"/>
  <c r="Z37" i="1"/>
  <c r="AD37" i="1"/>
  <c r="AE37" i="1"/>
  <c r="U38" i="1"/>
  <c r="W38" i="1"/>
  <c r="X38" i="1"/>
  <c r="Y38" i="1"/>
  <c r="Z38" i="1"/>
  <c r="AD38" i="1"/>
  <c r="AE38" i="1"/>
  <c r="U39" i="1"/>
  <c r="W39" i="1"/>
  <c r="X39" i="1"/>
  <c r="Y39" i="1"/>
  <c r="Z39" i="1"/>
  <c r="AD39" i="1"/>
  <c r="AE39" i="1"/>
  <c r="U40" i="1"/>
  <c r="W40" i="1"/>
  <c r="X40" i="1"/>
  <c r="Y40" i="1"/>
  <c r="Z40" i="1"/>
  <c r="AD40" i="1"/>
  <c r="AE40" i="1"/>
  <c r="U41" i="1"/>
  <c r="W41" i="1"/>
  <c r="X41" i="1"/>
  <c r="Y41" i="1"/>
  <c r="Z41" i="1"/>
  <c r="AD41" i="1"/>
  <c r="AE41" i="1"/>
  <c r="U42" i="1"/>
  <c r="W42" i="1"/>
  <c r="X42" i="1"/>
  <c r="Y42" i="1"/>
  <c r="Z42" i="1"/>
  <c r="AD42" i="1"/>
  <c r="AE42" i="1"/>
  <c r="U43" i="1"/>
  <c r="W43" i="1"/>
  <c r="X43" i="1"/>
  <c r="Y43" i="1"/>
  <c r="Z43" i="1"/>
  <c r="AD43" i="1"/>
  <c r="AE43" i="1"/>
  <c r="U44" i="1"/>
  <c r="W44" i="1"/>
  <c r="X44" i="1"/>
  <c r="Y44" i="1"/>
  <c r="Z44" i="1"/>
  <c r="AD44" i="1"/>
  <c r="AE44" i="1"/>
  <c r="U45" i="1"/>
  <c r="W45" i="1"/>
  <c r="X45" i="1"/>
  <c r="Y45" i="1"/>
  <c r="Z45" i="1"/>
  <c r="AD45" i="1"/>
  <c r="AE45" i="1"/>
  <c r="U46" i="1"/>
  <c r="W46" i="1"/>
  <c r="X46" i="1"/>
  <c r="Y46" i="1"/>
  <c r="Z46" i="1"/>
  <c r="AD46" i="1"/>
  <c r="AE46" i="1"/>
  <c r="U47" i="1"/>
  <c r="W47" i="1"/>
  <c r="X47" i="1"/>
  <c r="Y47" i="1"/>
  <c r="Z47" i="1"/>
  <c r="AD47" i="1"/>
  <c r="AE47" i="1"/>
  <c r="U48" i="1"/>
  <c r="W48" i="1"/>
  <c r="X48" i="1"/>
  <c r="Y48" i="1"/>
  <c r="Z48" i="1"/>
  <c r="AD48" i="1"/>
  <c r="AE48" i="1"/>
  <c r="U49" i="1"/>
  <c r="W49" i="1"/>
  <c r="X49" i="1"/>
  <c r="Y49" i="1"/>
  <c r="Z49" i="1"/>
  <c r="AD49" i="1"/>
  <c r="AE49" i="1"/>
  <c r="U50" i="1"/>
  <c r="W50" i="1"/>
  <c r="X50" i="1"/>
  <c r="Y50" i="1"/>
  <c r="Z50" i="1"/>
  <c r="AD50" i="1"/>
  <c r="AE50" i="1"/>
  <c r="U51" i="1"/>
  <c r="W51" i="1"/>
  <c r="X51" i="1"/>
  <c r="Y51" i="1"/>
  <c r="Z51" i="1"/>
  <c r="AD51" i="1"/>
  <c r="AE51" i="1"/>
  <c r="U52" i="1"/>
  <c r="W52" i="1"/>
  <c r="X52" i="1"/>
  <c r="Y52" i="1"/>
  <c r="Z52" i="1"/>
  <c r="AD52" i="1"/>
  <c r="AE52" i="1"/>
  <c r="U53" i="1"/>
  <c r="W53" i="1"/>
  <c r="X53" i="1"/>
  <c r="Y53" i="1"/>
  <c r="Z53" i="1"/>
  <c r="AD53" i="1"/>
  <c r="AE53" i="1"/>
  <c r="U54" i="1"/>
  <c r="W54" i="1"/>
  <c r="X54" i="1"/>
  <c r="Y54" i="1"/>
  <c r="Z54" i="1"/>
  <c r="AD54" i="1"/>
  <c r="AE54" i="1"/>
  <c r="U55" i="1"/>
  <c r="W55" i="1"/>
  <c r="X55" i="1"/>
  <c r="Y55" i="1"/>
  <c r="Z55" i="1"/>
  <c r="AD55" i="1"/>
  <c r="AE55" i="1"/>
  <c r="U56" i="1"/>
  <c r="W56" i="1"/>
  <c r="X56" i="1"/>
  <c r="Y56" i="1"/>
  <c r="Z56" i="1"/>
  <c r="AD56" i="1"/>
  <c r="AE56" i="1"/>
  <c r="U57" i="1"/>
  <c r="W57" i="1"/>
  <c r="X57" i="1"/>
  <c r="Y57" i="1"/>
  <c r="Z57" i="1"/>
  <c r="AD57" i="1"/>
  <c r="AE57" i="1"/>
  <c r="U58" i="1"/>
  <c r="W58" i="1"/>
  <c r="X58" i="1"/>
  <c r="Y58" i="1"/>
  <c r="Z58" i="1"/>
  <c r="AD58" i="1"/>
  <c r="AE58" i="1"/>
  <c r="U59" i="1"/>
  <c r="W59" i="1"/>
  <c r="X59" i="1"/>
  <c r="Y59" i="1"/>
  <c r="Z59" i="1"/>
  <c r="AD59" i="1"/>
  <c r="AE59" i="1"/>
  <c r="G9" i="1" l="1" a="1"/>
  <c r="G9" i="1" s="1"/>
  <c r="C9" i="1"/>
  <c r="H9" i="1" a="1"/>
  <c r="H9" i="1" s="1"/>
  <c r="I9" i="1" a="1"/>
  <c r="I9" i="1" s="1"/>
  <c r="H2" i="1" a="1"/>
  <c r="H2" i="1" s="1"/>
  <c r="I2" i="1" a="1"/>
  <c r="I2" i="1" s="1"/>
  <c r="G2" i="1" a="1"/>
  <c r="G2" i="1" s="1"/>
  <c r="C2" i="1"/>
  <c r="G7" i="1" a="1"/>
  <c r="G7" i="1" s="1"/>
  <c r="C7" i="1"/>
  <c r="H7" i="1" a="1"/>
  <c r="H7" i="1" s="1"/>
  <c r="I7" i="1" a="1"/>
  <c r="I7" i="1" s="1"/>
  <c r="G8" i="1" a="1"/>
  <c r="G8" i="1" s="1"/>
  <c r="C8" i="1"/>
  <c r="H8" i="1" a="1"/>
  <c r="H8" i="1" s="1"/>
  <c r="I8" i="1" a="1"/>
  <c r="I8" i="1" s="1"/>
  <c r="I5" i="1" a="1"/>
  <c r="I5" i="1" s="1"/>
  <c r="G5" i="1" a="1"/>
  <c r="G5" i="1" s="1"/>
  <c r="C5" i="1"/>
  <c r="H5" i="1" a="1"/>
  <c r="H5" i="1" s="1"/>
  <c r="I3" i="1" a="1"/>
  <c r="I3" i="1" s="1"/>
  <c r="H3" i="1" a="1"/>
  <c r="H3" i="1" s="1"/>
  <c r="G3" i="1" a="1"/>
  <c r="G3" i="1" s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<sst xmlns="http://schemas.openxmlformats.org/spreadsheetml/2006/main" count="6649" uniqueCount="890">
  <si>
    <t>1B</t>
  </si>
  <si>
    <t>2B</t>
  </si>
  <si>
    <t>3B</t>
  </si>
  <si>
    <t>C</t>
  </si>
  <si>
    <t>SS</t>
  </si>
  <si>
    <t>LF</t>
  </si>
  <si>
    <t>CF</t>
  </si>
  <si>
    <t>RF</t>
  </si>
  <si>
    <t>&lt;=</t>
  </si>
  <si>
    <t>RP</t>
  </si>
  <si>
    <t>SP</t>
  </si>
  <si>
    <t>WAR</t>
  </si>
  <si>
    <t>Juan Soto</t>
  </si>
  <si>
    <t>Name</t>
  </si>
  <si>
    <t>Pos</t>
  </si>
  <si>
    <t>Bats</t>
  </si>
  <si>
    <t>Thr</t>
  </si>
  <si>
    <t>Prev Team</t>
  </si>
  <si>
    <t>Age</t>
  </si>
  <si>
    <t>Service Time</t>
  </si>
  <si>
    <t>2024 WAR</t>
  </si>
  <si>
    <t>Proj WAR</t>
  </si>
  <si>
    <t>Med Years</t>
  </si>
  <si>
    <t>Med Total</t>
  </si>
  <si>
    <t>Med AAV</t>
  </si>
  <si>
    <t>QO</t>
  </si>
  <si>
    <t>Signing Team</t>
  </si>
  <si>
    <t>Years</t>
  </si>
  <si>
    <t>Total Salary</t>
  </si>
  <si>
    <t>AAV</t>
  </si>
  <si>
    <t/>
  </si>
  <si>
    <t>playerid</t>
  </si>
  <si>
    <t>LF/RF</t>
  </si>
  <si>
    <t>L</t>
  </si>
  <si>
    <t>NYY</t>
  </si>
  <si>
    <t>6.134</t>
  </si>
  <si>
    <t>NYM</t>
  </si>
  <si>
    <t>20123</t>
  </si>
  <si>
    <t>Willy Adames</t>
  </si>
  <si>
    <t>R</t>
  </si>
  <si>
    <t>MIL</t>
  </si>
  <si>
    <t>6.105</t>
  </si>
  <si>
    <t>SFG</t>
  </si>
  <si>
    <t>15986</t>
  </si>
  <si>
    <t>Jurickson Profar</t>
  </si>
  <si>
    <t>S</t>
  </si>
  <si>
    <t>SDP</t>
  </si>
  <si>
    <t>10.165</t>
  </si>
  <si>
    <t>ATL</t>
  </si>
  <si>
    <t>10815</t>
  </si>
  <si>
    <t>Alex Bregman</t>
  </si>
  <si>
    <t>HOU</t>
  </si>
  <si>
    <t>8.070</t>
  </si>
  <si>
    <t>BOS</t>
  </si>
  <si>
    <t>17678</t>
  </si>
  <si>
    <t>Corbin Burnes</t>
  </si>
  <si>
    <t>BAL</t>
  </si>
  <si>
    <t>6.049</t>
  </si>
  <si>
    <t>ARI</t>
  </si>
  <si>
    <t>19361</t>
  </si>
  <si>
    <t>Yusei Kikuchi</t>
  </si>
  <si>
    <t>6.000</t>
  </si>
  <si>
    <t>LAA</t>
  </si>
  <si>
    <t>20633</t>
  </si>
  <si>
    <t>Teoscar Hernández</t>
  </si>
  <si>
    <t>RF/LF</t>
  </si>
  <si>
    <t>LAD</t>
  </si>
  <si>
    <t>7.097</t>
  </si>
  <si>
    <t>13066</t>
  </si>
  <si>
    <t>Nick Martinez</t>
  </si>
  <si>
    <t>CIN</t>
  </si>
  <si>
    <t>6.002</t>
  </si>
  <si>
    <t>12730</t>
  </si>
  <si>
    <t>Max Fried</t>
  </si>
  <si>
    <t>6.148</t>
  </si>
  <si>
    <t>13743</t>
  </si>
  <si>
    <t>Jack Flaherty</t>
  </si>
  <si>
    <t>7.006</t>
  </si>
  <si>
    <t>DET</t>
  </si>
  <si>
    <t>17479</t>
  </si>
  <si>
    <t>Michael Wacha</t>
  </si>
  <si>
    <t>KCR</t>
  </si>
  <si>
    <t>11.062</t>
  </si>
  <si>
    <t>14078</t>
  </si>
  <si>
    <t>Anthony Santander</t>
  </si>
  <si>
    <t>6.162</t>
  </si>
  <si>
    <t>TOR</t>
  </si>
  <si>
    <t>14551</t>
  </si>
  <si>
    <t>Blake Snell</t>
  </si>
  <si>
    <t>8.072</t>
  </si>
  <si>
    <t>13543</t>
  </si>
  <si>
    <t>Christian Walker</t>
  </si>
  <si>
    <t>6.124</t>
  </si>
  <si>
    <t>13419</t>
  </si>
  <si>
    <t>Joc Pederson</t>
  </si>
  <si>
    <t>DH/LF/RF</t>
  </si>
  <si>
    <t>10.028</t>
  </si>
  <si>
    <t>TEX</t>
  </si>
  <si>
    <t>11899</t>
  </si>
  <si>
    <t>Carlos Santana</t>
  </si>
  <si>
    <t>MIN</t>
  </si>
  <si>
    <t>14.115</t>
  </si>
  <si>
    <t>CLE</t>
  </si>
  <si>
    <t>2396</t>
  </si>
  <si>
    <t>CHC</t>
  </si>
  <si>
    <t>Sean Manaea</t>
  </si>
  <si>
    <t>8.157</t>
  </si>
  <si>
    <t>15873</t>
  </si>
  <si>
    <t>Ha-Seong Kim</t>
  </si>
  <si>
    <t>4.000</t>
  </si>
  <si>
    <t>TBR</t>
  </si>
  <si>
    <t>27506</t>
  </si>
  <si>
    <t>Nathan Eovaldi</t>
  </si>
  <si>
    <t>13.013</t>
  </si>
  <si>
    <t>9132</t>
  </si>
  <si>
    <t>Tyler O'Neill</t>
  </si>
  <si>
    <t>LF/RF/CF</t>
  </si>
  <si>
    <t>6.059</t>
  </si>
  <si>
    <t>15711</t>
  </si>
  <si>
    <t>Jose Iglesias</t>
  </si>
  <si>
    <t>2B/SS</t>
  </si>
  <si>
    <t>10.158</t>
  </si>
  <si>
    <t>10231</t>
  </si>
  <si>
    <t>Andrew Heaney</t>
  </si>
  <si>
    <t>9.150</t>
  </si>
  <si>
    <t>PIT</t>
  </si>
  <si>
    <t>15423</t>
  </si>
  <si>
    <t>Luis Severino</t>
  </si>
  <si>
    <t>8.170</t>
  </si>
  <si>
    <t>ATH</t>
  </si>
  <si>
    <t>15890</t>
  </si>
  <si>
    <t>Pete Alonso</t>
  </si>
  <si>
    <t>19251</t>
  </si>
  <si>
    <t>Jeff Hoffman</t>
  </si>
  <si>
    <t>PHI</t>
  </si>
  <si>
    <t>6.084</t>
  </si>
  <si>
    <t>17432</t>
  </si>
  <si>
    <t>Nick Pivetta</t>
  </si>
  <si>
    <t>6.166</t>
  </si>
  <si>
    <t>15454</t>
  </si>
  <si>
    <t>Trevor Williams</t>
  </si>
  <si>
    <t>WSN</t>
  </si>
  <si>
    <t>8.027</t>
  </si>
  <si>
    <t>16977</t>
  </si>
  <si>
    <t>Kirby Yates</t>
  </si>
  <si>
    <t>10.021</t>
  </si>
  <si>
    <t>9073</t>
  </si>
  <si>
    <t>Josh Rojas</t>
  </si>
  <si>
    <t>3B/2B</t>
  </si>
  <si>
    <t>SEA</t>
  </si>
  <si>
    <t>4.126</t>
  </si>
  <si>
    <t>CHW</t>
  </si>
  <si>
    <t>19734</t>
  </si>
  <si>
    <t>Travis d'Arnaud</t>
  </si>
  <si>
    <t>11.044</t>
  </si>
  <si>
    <t>7739</t>
  </si>
  <si>
    <t>David Robertson</t>
  </si>
  <si>
    <t>15.119</t>
  </si>
  <si>
    <t>8241</t>
  </si>
  <si>
    <t>Gleyber Torres</t>
  </si>
  <si>
    <t>16997</t>
  </si>
  <si>
    <t>Paul DeJong</t>
  </si>
  <si>
    <t>SS/3B</t>
  </si>
  <si>
    <t>7.057</t>
  </si>
  <si>
    <t>18015</t>
  </si>
  <si>
    <t>Carson Kelly</t>
  </si>
  <si>
    <t>6.161</t>
  </si>
  <si>
    <t>13620</t>
  </si>
  <si>
    <t>Patrick Corbin</t>
  </si>
  <si>
    <t>12.105</t>
  </si>
  <si>
    <t>9323</t>
  </si>
  <si>
    <t>Tanner Scott</t>
  </si>
  <si>
    <t>17586</t>
  </si>
  <si>
    <t>Randal Grichuk</t>
  </si>
  <si>
    <t>10.033</t>
  </si>
  <si>
    <t>10243</t>
  </si>
  <si>
    <t>Kyle Higashioka</t>
  </si>
  <si>
    <t>6.005</t>
  </si>
  <si>
    <t>5517</t>
  </si>
  <si>
    <t>Kevin Newman</t>
  </si>
  <si>
    <t>2B/SS/3B</t>
  </si>
  <si>
    <t>6.046</t>
  </si>
  <si>
    <t>17696</t>
  </si>
  <si>
    <t>Kyle Gibson</t>
  </si>
  <si>
    <t>STL</t>
  </si>
  <si>
    <t>11.039</t>
  </si>
  <si>
    <t>10123</t>
  </si>
  <si>
    <t>Kenley Jansen</t>
  </si>
  <si>
    <t>14.073</t>
  </si>
  <si>
    <t>3096</t>
  </si>
  <si>
    <t>Jesse Winker</t>
  </si>
  <si>
    <t>LF/RF/DH</t>
  </si>
  <si>
    <t>7.080</t>
  </si>
  <si>
    <t>13590</t>
  </si>
  <si>
    <t>Yasmani Grandal</t>
  </si>
  <si>
    <t>12.115</t>
  </si>
  <si>
    <t>11368</t>
  </si>
  <si>
    <t>Michael Conforto</t>
  </si>
  <si>
    <t>8.043</t>
  </si>
  <si>
    <t>16376</t>
  </si>
  <si>
    <t>Lance Lynn</t>
  </si>
  <si>
    <t>13.119</t>
  </si>
  <si>
    <t>2520</t>
  </si>
  <si>
    <t>Chris Flexen</t>
  </si>
  <si>
    <t>4.099</t>
  </si>
  <si>
    <t>13896</t>
  </si>
  <si>
    <t>Frankie Montas</t>
  </si>
  <si>
    <t>7.015</t>
  </si>
  <si>
    <t>14309</t>
  </si>
  <si>
    <t>Harrison Bader</t>
  </si>
  <si>
    <t>7.030</t>
  </si>
  <si>
    <t>18030</t>
  </si>
  <si>
    <t>Patrick Sandoval</t>
  </si>
  <si>
    <t>4.149</t>
  </si>
  <si>
    <t>19447</t>
  </si>
  <si>
    <t>Clay Holmes</t>
  </si>
  <si>
    <t>6.031</t>
  </si>
  <si>
    <t>13649</t>
  </si>
  <si>
    <t>Paul Goldschmidt</t>
  </si>
  <si>
    <t>13.059</t>
  </si>
  <si>
    <t>9218</t>
  </si>
  <si>
    <t>Justin Turner</t>
  </si>
  <si>
    <t>1B/DH</t>
  </si>
  <si>
    <t>14.045</t>
  </si>
  <si>
    <t>5235</t>
  </si>
  <si>
    <t>Carlos Estévez</t>
  </si>
  <si>
    <t>8.022</t>
  </si>
  <si>
    <t>14542</t>
  </si>
  <si>
    <t>Charlie Morton</t>
  </si>
  <si>
    <t>16.010</t>
  </si>
  <si>
    <t>4676</t>
  </si>
  <si>
    <t>Ross Stripling</t>
  </si>
  <si>
    <t>8.115</t>
  </si>
  <si>
    <t>13273</t>
  </si>
  <si>
    <t>Aaron Bummer</t>
  </si>
  <si>
    <t>6.150</t>
  </si>
  <si>
    <t>16258</t>
  </si>
  <si>
    <t>Aroldis Chapman</t>
  </si>
  <si>
    <t>14.009</t>
  </si>
  <si>
    <t>10233</t>
  </si>
  <si>
    <t>Jose Quintana</t>
  </si>
  <si>
    <t>12.133</t>
  </si>
  <si>
    <t>11423</t>
  </si>
  <si>
    <t>Mike Tauchman</t>
  </si>
  <si>
    <t>CF/LF/RF</t>
  </si>
  <si>
    <t>4.143</t>
  </si>
  <si>
    <t>15274</t>
  </si>
  <si>
    <t>Blake Treinen</t>
  </si>
  <si>
    <t>10.065</t>
  </si>
  <si>
    <t>12572</t>
  </si>
  <si>
    <t>Max Kepler</t>
  </si>
  <si>
    <t>8.152</t>
  </si>
  <si>
    <t>12144</t>
  </si>
  <si>
    <t>Jacob Stallings</t>
  </si>
  <si>
    <t>COL</t>
  </si>
  <si>
    <t>6.149</t>
  </si>
  <si>
    <t>13723</t>
  </si>
  <si>
    <t>Hoby Milner</t>
  </si>
  <si>
    <t>5.068</t>
  </si>
  <si>
    <t>13346</t>
  </si>
  <si>
    <t>Chris Martin</t>
  </si>
  <si>
    <t>7.133</t>
  </si>
  <si>
    <t>11847</t>
  </si>
  <si>
    <t>Nicky Lopez</t>
  </si>
  <si>
    <t>5.139</t>
  </si>
  <si>
    <t>19339</t>
  </si>
  <si>
    <t>Joe Ross</t>
  </si>
  <si>
    <t>7.018</t>
  </si>
  <si>
    <t>12972</t>
  </si>
  <si>
    <t>Matthew Boyd</t>
  </si>
  <si>
    <t>8.057</t>
  </si>
  <si>
    <t>15440</t>
  </si>
  <si>
    <t>Ramón Laureano</t>
  </si>
  <si>
    <t>RF/LF/CF</t>
  </si>
  <si>
    <t>5.159</t>
  </si>
  <si>
    <t>17128</t>
  </si>
  <si>
    <t>Mark Canha</t>
  </si>
  <si>
    <t>LF/RF/1B</t>
  </si>
  <si>
    <t>9.092</t>
  </si>
  <si>
    <t>11445</t>
  </si>
  <si>
    <t>Jakob Junis</t>
  </si>
  <si>
    <t>7.002</t>
  </si>
  <si>
    <t>13619</t>
  </si>
  <si>
    <t>Jason Heyward</t>
  </si>
  <si>
    <t>15.000</t>
  </si>
  <si>
    <t>4940</t>
  </si>
  <si>
    <t>José Leclerc</t>
  </si>
  <si>
    <t>8.041</t>
  </si>
  <si>
    <t>14524</t>
  </si>
  <si>
    <t>Colin Rea</t>
  </si>
  <si>
    <t>5.057</t>
  </si>
  <si>
    <t>12317</t>
  </si>
  <si>
    <t>Donovan Solano</t>
  </si>
  <si>
    <t>3B/1B/DH</t>
  </si>
  <si>
    <t>9.057</t>
  </si>
  <si>
    <t>8623</t>
  </si>
  <si>
    <t>Shane Bieber</t>
  </si>
  <si>
    <t>6.097</t>
  </si>
  <si>
    <t>19427</t>
  </si>
  <si>
    <t>Brendan Rodgers</t>
  </si>
  <si>
    <t>5.075</t>
  </si>
  <si>
    <t>17907</t>
  </si>
  <si>
    <t>Abraham Toro</t>
  </si>
  <si>
    <t>3B/1B</t>
  </si>
  <si>
    <t>3.165</t>
  </si>
  <si>
    <t>19844</t>
  </si>
  <si>
    <t>Shawn Armstrong</t>
  </si>
  <si>
    <t>6.113</t>
  </si>
  <si>
    <t>12857</t>
  </si>
  <si>
    <t>Michael Lorenzen</t>
  </si>
  <si>
    <t>9.159</t>
  </si>
  <si>
    <t>14843</t>
  </si>
  <si>
    <t>Justin Verlander</t>
  </si>
  <si>
    <t>19.002</t>
  </si>
  <si>
    <t>8700</t>
  </si>
  <si>
    <t>Gio Urshela</t>
  </si>
  <si>
    <t>7.127</t>
  </si>
  <si>
    <t>10681</t>
  </si>
  <si>
    <t>Jacob Webb</t>
  </si>
  <si>
    <t>4.046</t>
  </si>
  <si>
    <t>19274</t>
  </si>
  <si>
    <t>Clayton Kershaw</t>
  </si>
  <si>
    <t>16.105</t>
  </si>
  <si>
    <t>2036</t>
  </si>
  <si>
    <t>Spencer Turnbull</t>
  </si>
  <si>
    <t>6.020</t>
  </si>
  <si>
    <t>16207</t>
  </si>
  <si>
    <t>Kevin Pillar</t>
  </si>
  <si>
    <t>10.072</t>
  </si>
  <si>
    <t>12434</t>
  </si>
  <si>
    <t>Jalen Beeks</t>
  </si>
  <si>
    <t>6.003</t>
  </si>
  <si>
    <t>17192</t>
  </si>
  <si>
    <t>Enrique Hernández</t>
  </si>
  <si>
    <t>3B/2B/SS/OF</t>
  </si>
  <si>
    <t>10.054</t>
  </si>
  <si>
    <t>10472</t>
  </si>
  <si>
    <t>Max Scherzer</t>
  </si>
  <si>
    <t>16.079</t>
  </si>
  <si>
    <t>3137</t>
  </si>
  <si>
    <t>Alex Verdugo</t>
  </si>
  <si>
    <t>6.078</t>
  </si>
  <si>
    <t>17027</t>
  </si>
  <si>
    <t>Dylan Floro</t>
  </si>
  <si>
    <t>7.053</t>
  </si>
  <si>
    <t>13394</t>
  </si>
  <si>
    <t>J.D. Martinez</t>
  </si>
  <si>
    <t>DH</t>
  </si>
  <si>
    <t>13.021</t>
  </si>
  <si>
    <t>6184</t>
  </si>
  <si>
    <t>Buck Farmer</t>
  </si>
  <si>
    <t>7.140</t>
  </si>
  <si>
    <t>14814</t>
  </si>
  <si>
    <t>Danny Coulombe</t>
  </si>
  <si>
    <t>6.008</t>
  </si>
  <si>
    <t>13293</t>
  </si>
  <si>
    <t>Cal Quantrill</t>
  </si>
  <si>
    <t>5.132</t>
  </si>
  <si>
    <t>MIA</t>
  </si>
  <si>
    <t>19312</t>
  </si>
  <si>
    <t>Danny Jansen</t>
  </si>
  <si>
    <t>6.050</t>
  </si>
  <si>
    <t>16535</t>
  </si>
  <si>
    <t>Connor Joe</t>
  </si>
  <si>
    <t>1B/RF/LF</t>
  </si>
  <si>
    <t>3.136</t>
  </si>
  <si>
    <t>16572</t>
  </si>
  <si>
    <t>Kyle Farmer</t>
  </si>
  <si>
    <t>3B/2B/SS</t>
  </si>
  <si>
    <t>6.129</t>
  </si>
  <si>
    <t>14813</t>
  </si>
  <si>
    <t>Andrew McCutchen</t>
  </si>
  <si>
    <t>15.123</t>
  </si>
  <si>
    <t>9847</t>
  </si>
  <si>
    <t>Martín Pérez</t>
  </si>
  <si>
    <t>12.038</t>
  </si>
  <si>
    <t>6902</t>
  </si>
  <si>
    <t>Nick Ahmed</t>
  </si>
  <si>
    <t>10.017</t>
  </si>
  <si>
    <t>12147</t>
  </si>
  <si>
    <t>Garrett Hampson</t>
  </si>
  <si>
    <t>2B/3B/SS/OF</t>
  </si>
  <si>
    <t>6.010</t>
  </si>
  <si>
    <t>19262</t>
  </si>
  <si>
    <t>John Means</t>
  </si>
  <si>
    <t>6.007</t>
  </si>
  <si>
    <t>16269</t>
  </si>
  <si>
    <t>Elias Díaz</t>
  </si>
  <si>
    <t>8.087</t>
  </si>
  <si>
    <t>11680</t>
  </si>
  <si>
    <t>Tim Hill</t>
  </si>
  <si>
    <t>6.112</t>
  </si>
  <si>
    <t>16814</t>
  </si>
  <si>
    <t>David Peralta</t>
  </si>
  <si>
    <t>10.079</t>
  </si>
  <si>
    <t>2136</t>
  </si>
  <si>
    <t>Adam Ottavino</t>
  </si>
  <si>
    <t>13.087</t>
  </si>
  <si>
    <t>1247</t>
  </si>
  <si>
    <t>Whit Merrifield</t>
  </si>
  <si>
    <t>2B/3B/LF</t>
  </si>
  <si>
    <t>8.101</t>
  </si>
  <si>
    <t>11281</t>
  </si>
  <si>
    <t>Andrew Chafin</t>
  </si>
  <si>
    <t>10.020</t>
  </si>
  <si>
    <t>12988</t>
  </si>
  <si>
    <t>Michael A. Taylor</t>
  </si>
  <si>
    <t>9.129</t>
  </si>
  <si>
    <t>11489</t>
  </si>
  <si>
    <t>Kyle Hendricks</t>
  </si>
  <si>
    <t>10.081</t>
  </si>
  <si>
    <t>12049</t>
  </si>
  <si>
    <t>Austin Hedges</t>
  </si>
  <si>
    <t>8.166</t>
  </si>
  <si>
    <t>12976</t>
  </si>
  <si>
    <t>Yimi García</t>
  </si>
  <si>
    <t>9.149</t>
  </si>
  <si>
    <t>12095</t>
  </si>
  <si>
    <t>Thairo Estrada</t>
  </si>
  <si>
    <t>4.153</t>
  </si>
  <si>
    <t>16426</t>
  </si>
  <si>
    <t>Gary Sánchez</t>
  </si>
  <si>
    <t>C/DH</t>
  </si>
  <si>
    <t>8.050</t>
  </si>
  <si>
    <t>11442</t>
  </si>
  <si>
    <t>Austin Wynns</t>
  </si>
  <si>
    <t>4.017</t>
  </si>
  <si>
    <t>15271</t>
  </si>
  <si>
    <t>Michael Soroka</t>
  </si>
  <si>
    <t>6.009</t>
  </si>
  <si>
    <t>18383</t>
  </si>
  <si>
    <t>Burch Smith</t>
  </si>
  <si>
    <t>5.086</t>
  </si>
  <si>
    <t>12784</t>
  </si>
  <si>
    <t>Paul Sewald</t>
  </si>
  <si>
    <t>6.072</t>
  </si>
  <si>
    <t>13892</t>
  </si>
  <si>
    <t>T.J. McFarland</t>
  </si>
  <si>
    <t>9.050</t>
  </si>
  <si>
    <t>3237</t>
  </si>
  <si>
    <t>Jorge Polanco</t>
  </si>
  <si>
    <t>2B/3B</t>
  </si>
  <si>
    <t>8.024</t>
  </si>
  <si>
    <t>13152</t>
  </si>
  <si>
    <t>Brooks Raley</t>
  </si>
  <si>
    <t>5.045</t>
  </si>
  <si>
    <t>10061</t>
  </si>
  <si>
    <t>Andrew Kittredge</t>
  </si>
  <si>
    <t>6.070</t>
  </si>
  <si>
    <t>12828</t>
  </si>
  <si>
    <t>Yoán Moncada</t>
  </si>
  <si>
    <t>7.106</t>
  </si>
  <si>
    <t>17232</t>
  </si>
  <si>
    <t>Alex Cobb</t>
  </si>
  <si>
    <t>13.061</t>
  </si>
  <si>
    <t>6562</t>
  </si>
  <si>
    <t>Caleb Ferguson</t>
  </si>
  <si>
    <t>6.093</t>
  </si>
  <si>
    <t>19349</t>
  </si>
  <si>
    <t>Jon Berti</t>
  </si>
  <si>
    <t>5.168</t>
  </si>
  <si>
    <t>12037</t>
  </si>
  <si>
    <t>Luis García</t>
  </si>
  <si>
    <t>9.007</t>
  </si>
  <si>
    <t>6984</t>
  </si>
  <si>
    <t>Dillon Tate</t>
  </si>
  <si>
    <t>4.144</t>
  </si>
  <si>
    <t>17796</t>
  </si>
  <si>
    <t>Drew Smith</t>
  </si>
  <si>
    <t>6.034</t>
  </si>
  <si>
    <t>17755</t>
  </si>
  <si>
    <t>Christian Bethancourt</t>
  </si>
  <si>
    <t>5.023</t>
  </si>
  <si>
    <t>10028</t>
  </si>
  <si>
    <t>Josh Staumont</t>
  </si>
  <si>
    <t>5.028</t>
  </si>
  <si>
    <t>18335</t>
  </si>
  <si>
    <t>Amed Rosario</t>
  </si>
  <si>
    <t>2B/3B/SS/RF</t>
  </si>
  <si>
    <t>7.062</t>
  </si>
  <si>
    <t>15518</t>
  </si>
  <si>
    <t>Yency Almonte</t>
  </si>
  <si>
    <t>5.143</t>
  </si>
  <si>
    <t>15068</t>
  </si>
  <si>
    <t>Marco Gonzales</t>
  </si>
  <si>
    <t>7.102</t>
  </si>
  <si>
    <t>15467</t>
  </si>
  <si>
    <t>Hunter Strickland</t>
  </si>
  <si>
    <t>8.033</t>
  </si>
  <si>
    <t>7836</t>
  </si>
  <si>
    <t>Jorge López</t>
  </si>
  <si>
    <t>6.094</t>
  </si>
  <si>
    <t>14527</t>
  </si>
  <si>
    <t>Luis Urías</t>
  </si>
  <si>
    <t>5.024</t>
  </si>
  <si>
    <t>16622</t>
  </si>
  <si>
    <t>Caleb Thielbar</t>
  </si>
  <si>
    <t>6.131</t>
  </si>
  <si>
    <t>10078</t>
  </si>
  <si>
    <t>Reese McGuire</t>
  </si>
  <si>
    <t>4.155</t>
  </si>
  <si>
    <t>15674</t>
  </si>
  <si>
    <t>Craig Kimbrel</t>
  </si>
  <si>
    <t>13.161</t>
  </si>
  <si>
    <t>6655</t>
  </si>
  <si>
    <t>Brent Suter</t>
  </si>
  <si>
    <t>7.161</t>
  </si>
  <si>
    <t>13942</t>
  </si>
  <si>
    <t>Austin Hays</t>
  </si>
  <si>
    <t>19363</t>
  </si>
  <si>
    <t>James McCann</t>
  </si>
  <si>
    <t>12859</t>
  </si>
  <si>
    <t>Matt Duffy</t>
  </si>
  <si>
    <t>3B/2B/1B</t>
  </si>
  <si>
    <t>8.065</t>
  </si>
  <si>
    <t>13836</t>
  </si>
  <si>
    <t>Jonathan Loáisiga</t>
  </si>
  <si>
    <t>6.022</t>
  </si>
  <si>
    <t>19753</t>
  </si>
  <si>
    <t>Matt Barnes</t>
  </si>
  <si>
    <t>12863</t>
  </si>
  <si>
    <t>Carlos Carrasco</t>
  </si>
  <si>
    <t>13.147</t>
  </si>
  <si>
    <t>6632</t>
  </si>
  <si>
    <t>Luis Guillorme</t>
  </si>
  <si>
    <t>2B/3B/SS</t>
  </si>
  <si>
    <t>16451</t>
  </si>
  <si>
    <t>Tomás Nido</t>
  </si>
  <si>
    <t>5.121</t>
  </si>
  <si>
    <t>13755</t>
  </si>
  <si>
    <t>John Brebbia</t>
  </si>
  <si>
    <t>7.078</t>
  </si>
  <si>
    <t>12777</t>
  </si>
  <si>
    <t>Justin Wilson</t>
  </si>
  <si>
    <t>12.035</t>
  </si>
  <si>
    <t>4301</t>
  </si>
  <si>
    <t>Trevor Richards</t>
  </si>
  <si>
    <t>19309</t>
  </si>
  <si>
    <t>Phil Maton</t>
  </si>
  <si>
    <t>7.047</t>
  </si>
  <si>
    <t>18064</t>
  </si>
  <si>
    <t>Cavan Biggio</t>
  </si>
  <si>
    <t>2B/3B/LF/RF</t>
  </si>
  <si>
    <t>5.110</t>
  </si>
  <si>
    <t>19252</t>
  </si>
  <si>
    <t>Griffin Canning</t>
  </si>
  <si>
    <t>19867</t>
  </si>
  <si>
    <t>Jake Bauers</t>
  </si>
  <si>
    <t>4.084</t>
  </si>
  <si>
    <t>15194</t>
  </si>
  <si>
    <t>Scott Alexander</t>
  </si>
  <si>
    <t>10591</t>
  </si>
  <si>
    <t>Tommy Kahnle</t>
  </si>
  <si>
    <t>9.131</t>
  </si>
  <si>
    <t>11384</t>
  </si>
  <si>
    <t>Héctor Neris</t>
  </si>
  <si>
    <t>9.068</t>
  </si>
  <si>
    <t>11804</t>
  </si>
  <si>
    <t>Scott Barlow</t>
  </si>
  <si>
    <t>6.026</t>
  </si>
  <si>
    <t>14993</t>
  </si>
  <si>
    <t>Jordan Lyles</t>
  </si>
  <si>
    <t>12.025</t>
  </si>
  <si>
    <t>7593</t>
  </si>
  <si>
    <t>José Ureña</t>
  </si>
  <si>
    <t>8.045</t>
  </si>
  <si>
    <t>11589</t>
  </si>
  <si>
    <t>Dakota Hudson</t>
  </si>
  <si>
    <t>5.141</t>
  </si>
  <si>
    <t>19206</t>
  </si>
  <si>
    <t>Diego Castillo</t>
  </si>
  <si>
    <t>4.169</t>
  </si>
  <si>
    <t>17496</t>
  </si>
  <si>
    <t>Jacob Barnes</t>
  </si>
  <si>
    <t>6.100</t>
  </si>
  <si>
    <t>12323</t>
  </si>
  <si>
    <t>Austin Adams</t>
  </si>
  <si>
    <t>5.150</t>
  </si>
  <si>
    <t>13801</t>
  </si>
  <si>
    <t>Ryan Yarbrough</t>
  </si>
  <si>
    <t>6.117</t>
  </si>
  <si>
    <t>16502</t>
  </si>
  <si>
    <t>Ben Gamel</t>
  </si>
  <si>
    <t>6.152</t>
  </si>
  <si>
    <t>12160</t>
  </si>
  <si>
    <t>Joe Kelly</t>
  </si>
  <si>
    <t>12.029</t>
  </si>
  <si>
    <t>9761</t>
  </si>
  <si>
    <t>Kyle Finnegan</t>
  </si>
  <si>
    <t>5.000</t>
  </si>
  <si>
    <t>15009</t>
  </si>
  <si>
    <t>Ryne Stanek</t>
  </si>
  <si>
    <t>7.038</t>
  </si>
  <si>
    <t>15947</t>
  </si>
  <si>
    <t>Joey Lucchesi</t>
  </si>
  <si>
    <t>4.113</t>
  </si>
  <si>
    <t>19320</t>
  </si>
  <si>
    <t>Yuli Gurriel</t>
  </si>
  <si>
    <t>7.073</t>
  </si>
  <si>
    <t>19198</t>
  </si>
  <si>
    <t>Ryan Borucki</t>
  </si>
  <si>
    <t>6.006</t>
  </si>
  <si>
    <t>16350</t>
  </si>
  <si>
    <t>A.J. Minter</t>
  </si>
  <si>
    <t>6.154</t>
  </si>
  <si>
    <t>18655</t>
  </si>
  <si>
    <t>Adam Cimber</t>
  </si>
  <si>
    <t>6.102</t>
  </si>
  <si>
    <t>15288</t>
  </si>
  <si>
    <t>Tommy Pham</t>
  </si>
  <si>
    <t>2967</t>
  </si>
  <si>
    <t>Alex Wood</t>
  </si>
  <si>
    <t>11.123</t>
  </si>
  <si>
    <t>13781</t>
  </si>
  <si>
    <t>Ildemaro Vargas</t>
  </si>
  <si>
    <t>5.007</t>
  </si>
  <si>
    <t>13324</t>
  </si>
  <si>
    <t>Miguel Sanó</t>
  </si>
  <si>
    <t>1B/3B/DH</t>
  </si>
  <si>
    <t>8.002</t>
  </si>
  <si>
    <t>12164</t>
  </si>
  <si>
    <t>Josh Bell</t>
  </si>
  <si>
    <t>8.053</t>
  </si>
  <si>
    <t>13145</t>
  </si>
  <si>
    <t>Walker Buehler</t>
  </si>
  <si>
    <t>6.168</t>
  </si>
  <si>
    <t>19374</t>
  </si>
  <si>
    <t>Luke Jackson</t>
  </si>
  <si>
    <t>8.019</t>
  </si>
  <si>
    <t>11752</t>
  </si>
  <si>
    <t>Joely Rodríguez</t>
  </si>
  <si>
    <t>4.137</t>
  </si>
  <si>
    <t>11487</t>
  </si>
  <si>
    <t>Wade Miley</t>
  </si>
  <si>
    <t>13.025</t>
  </si>
  <si>
    <t>8779</t>
  </si>
  <si>
    <t>Mike Clevinger</t>
  </si>
  <si>
    <t>8.008</t>
  </si>
  <si>
    <t>12808</t>
  </si>
  <si>
    <t>Tim Mayza</t>
  </si>
  <si>
    <t>5.129</t>
  </si>
  <si>
    <t>15042</t>
  </si>
  <si>
    <t>Adrian Houser</t>
  </si>
  <si>
    <t>5.136</t>
  </si>
  <si>
    <t>12718</t>
  </si>
  <si>
    <t>Shelby Miller</t>
  </si>
  <si>
    <t>9.016</t>
  </si>
  <si>
    <t>10197</t>
  </si>
  <si>
    <t>Miguel Castro</t>
  </si>
  <si>
    <t>15684</t>
  </si>
  <si>
    <t>Austin Slater</t>
  </si>
  <si>
    <t>6.147</t>
  </si>
  <si>
    <t>16153</t>
  </si>
  <si>
    <t>Tyler Matzek</t>
  </si>
  <si>
    <t>10058</t>
  </si>
  <si>
    <t>Anthony Rizzo</t>
  </si>
  <si>
    <t>12.168</t>
  </si>
  <si>
    <t>3473</t>
  </si>
  <si>
    <t>Joey Gallo</t>
  </si>
  <si>
    <t>8.103</t>
  </si>
  <si>
    <t>14128</t>
  </si>
  <si>
    <t>Jesse Chavez</t>
  </si>
  <si>
    <t>14.038</t>
  </si>
  <si>
    <t>5448</t>
  </si>
  <si>
    <t>Tanner Rainey</t>
  </si>
  <si>
    <t>5.127</t>
  </si>
  <si>
    <t>17610</t>
  </si>
  <si>
    <t>JT Chargois</t>
  </si>
  <si>
    <t>5.101</t>
  </si>
  <si>
    <t>13767</t>
  </si>
  <si>
    <t>Matt Carpenter</t>
  </si>
  <si>
    <t>12.145</t>
  </si>
  <si>
    <t>8090</t>
  </si>
  <si>
    <t>Manuel Margot</t>
  </si>
  <si>
    <t>8.012</t>
  </si>
  <si>
    <t>14712</t>
  </si>
  <si>
    <t>DJ Stewart</t>
  </si>
  <si>
    <t>3.144</t>
  </si>
  <si>
    <t>17766</t>
  </si>
  <si>
    <t>Nick Anderson</t>
  </si>
  <si>
    <t>5.094</t>
  </si>
  <si>
    <t>18337</t>
  </si>
  <si>
    <t>Sean Newcomb</t>
  </si>
  <si>
    <t>5.041</t>
  </si>
  <si>
    <t>16943</t>
  </si>
  <si>
    <t>Joey Wendle</t>
  </si>
  <si>
    <t>13853</t>
  </si>
  <si>
    <t>Matt Bowman</t>
  </si>
  <si>
    <t>13528</t>
  </si>
  <si>
    <t>Steven Okert</t>
  </si>
  <si>
    <t>4.089</t>
  </si>
  <si>
    <t>13580</t>
  </si>
  <si>
    <t>Travis Jankowski</t>
  </si>
  <si>
    <t>7.153</t>
  </si>
  <si>
    <t>13768</t>
  </si>
  <si>
    <t>José Cisnero</t>
  </si>
  <si>
    <t>6.167</t>
  </si>
  <si>
    <t>6399</t>
  </si>
  <si>
    <t>Bryse Wilson</t>
  </si>
  <si>
    <t>4.036</t>
  </si>
  <si>
    <t>19990</t>
  </si>
  <si>
    <t>Drew Smyly</t>
  </si>
  <si>
    <t>12.143</t>
  </si>
  <si>
    <t>11760</t>
  </si>
  <si>
    <t>Jay Jackson</t>
  </si>
  <si>
    <t>2.100</t>
  </si>
  <si>
    <t>7432</t>
  </si>
  <si>
    <t>Jordan Romano</t>
  </si>
  <si>
    <t>5.051</t>
  </si>
  <si>
    <t>16122</t>
  </si>
  <si>
    <t>Colin Poche</t>
  </si>
  <si>
    <t>5.114</t>
  </si>
  <si>
    <t>19403</t>
  </si>
  <si>
    <t>Lucas Sims</t>
  </si>
  <si>
    <t>6.014</t>
  </si>
  <si>
    <t>13470</t>
  </si>
  <si>
    <t>Garrett Cooper</t>
  </si>
  <si>
    <t>15279</t>
  </si>
  <si>
    <t>Will Smith</t>
  </si>
  <si>
    <t>11.155</t>
  </si>
  <si>
    <t>8048</t>
  </si>
  <si>
    <t>Curt Casali</t>
  </si>
  <si>
    <t>8.117</t>
  </si>
  <si>
    <t>12510</t>
  </si>
  <si>
    <t>J.D. Davis</t>
  </si>
  <si>
    <t>6.092</t>
  </si>
  <si>
    <t>16219</t>
  </si>
  <si>
    <t>Génesis Cabrera</t>
  </si>
  <si>
    <t>5.011</t>
  </si>
  <si>
    <t>17490</t>
  </si>
  <si>
    <t>Rowdy Tellez</t>
  </si>
  <si>
    <t>6.004</t>
  </si>
  <si>
    <t>15679</t>
  </si>
  <si>
    <t>Tucker Barnhart</t>
  </si>
  <si>
    <t>9.148</t>
  </si>
  <si>
    <t>10200</t>
  </si>
  <si>
    <t>Giovanny Gallegos</t>
  </si>
  <si>
    <t>6.041</t>
  </si>
  <si>
    <t>14986</t>
  </si>
  <si>
    <t>Adam Frazier</t>
  </si>
  <si>
    <t>2B/RF/LF</t>
  </si>
  <si>
    <t>8.075</t>
  </si>
  <si>
    <t>15223</t>
  </si>
  <si>
    <t>Aledmys Díaz</t>
  </si>
  <si>
    <t>3B/2B/1B/SS</t>
  </si>
  <si>
    <t>8.054</t>
  </si>
  <si>
    <t>15937</t>
  </si>
  <si>
    <t>Nick Senzel</t>
  </si>
  <si>
    <t>3B/LF/RF</t>
  </si>
  <si>
    <t>19293</t>
  </si>
  <si>
    <t>Robbie Grossman</t>
  </si>
  <si>
    <t>10.060</t>
  </si>
  <si>
    <t>5254</t>
  </si>
  <si>
    <t>Tyler Alexander</t>
  </si>
  <si>
    <t>17735</t>
  </si>
  <si>
    <t>Nick Madrigal</t>
  </si>
  <si>
    <t>4.087</t>
  </si>
  <si>
    <t>20521</t>
  </si>
  <si>
    <t>Scott McGough</t>
  </si>
  <si>
    <t>1.121</t>
  </si>
  <si>
    <t>12056</t>
  </si>
  <si>
    <t>Chris Devenski</t>
  </si>
  <si>
    <t>7.115</t>
  </si>
  <si>
    <t>12763</t>
  </si>
  <si>
    <t>Luke Maile</t>
  </si>
  <si>
    <t>7.148</t>
  </si>
  <si>
    <t>13355</t>
  </si>
  <si>
    <t>Matt Moore</t>
  </si>
  <si>
    <t>12.000</t>
  </si>
  <si>
    <t>1890</t>
  </si>
  <si>
    <t>Adbert Alzolay</t>
  </si>
  <si>
    <t>4.050</t>
  </si>
  <si>
    <t>17859</t>
  </si>
  <si>
    <t>Jake Diekman</t>
  </si>
  <si>
    <t>12.007</t>
  </si>
  <si>
    <t>5003</t>
  </si>
  <si>
    <t>Gavin Sheets</t>
  </si>
  <si>
    <t>3.076</t>
  </si>
  <si>
    <t>19901</t>
  </si>
  <si>
    <t>Ty France</t>
  </si>
  <si>
    <t>5.089</t>
  </si>
  <si>
    <t>17982</t>
  </si>
  <si>
    <t>Eloy Jiménez</t>
  </si>
  <si>
    <t>DH/RF/LF</t>
  </si>
  <si>
    <t>17484</t>
  </si>
  <si>
    <t>Enyel De Los Santos</t>
  </si>
  <si>
    <t>4.015</t>
  </si>
  <si>
    <t>18403</t>
  </si>
  <si>
    <t>Omar Narváez</t>
  </si>
  <si>
    <t>7.159</t>
  </si>
  <si>
    <t>13338</t>
  </si>
  <si>
    <t>Adam Duvall</t>
  </si>
  <si>
    <t>8.151</t>
  </si>
  <si>
    <t>10950</t>
  </si>
  <si>
    <t>Bryan De La Cruz</t>
  </si>
  <si>
    <t>3.056</t>
  </si>
  <si>
    <t>19600</t>
  </si>
  <si>
    <t>Dylan Carlson</t>
  </si>
  <si>
    <t>4.104</t>
  </si>
  <si>
    <t>20126</t>
  </si>
  <si>
    <t>Yan Gomes</t>
  </si>
  <si>
    <t>11.169</t>
  </si>
  <si>
    <t>9627</t>
  </si>
  <si>
    <t>Tim Anderson</t>
  </si>
  <si>
    <t>SS/2B</t>
  </si>
  <si>
    <t>15172</t>
  </si>
  <si>
    <t>Martín Maldonado</t>
  </si>
  <si>
    <t>12.100</t>
  </si>
  <si>
    <t>6887</t>
  </si>
  <si>
    <t>José Abreu</t>
  </si>
  <si>
    <t>15676</t>
  </si>
  <si>
    <t>Eddie Rosario</t>
  </si>
  <si>
    <t>9.080</t>
  </si>
  <si>
    <t>12155</t>
  </si>
  <si>
    <t>Brandon Drury</t>
  </si>
  <si>
    <t>2B/1B/3B</t>
  </si>
  <si>
    <t>8.001</t>
  </si>
  <si>
    <t>11615</t>
  </si>
  <si>
    <t>Huascar Ynoa</t>
  </si>
  <si>
    <t>3.117</t>
  </si>
  <si>
    <t>20468</t>
  </si>
  <si>
    <t>Kendall Graveman</t>
  </si>
  <si>
    <t>9.078</t>
  </si>
  <si>
    <t>15514</t>
  </si>
  <si>
    <t>Kyle Hart</t>
  </si>
  <si>
    <t>KBO</t>
  </si>
  <si>
    <t>0.128</t>
  </si>
  <si>
    <t>19646</t>
  </si>
  <si>
    <t>Keynan Middleton</t>
  </si>
  <si>
    <t>7.023</t>
  </si>
  <si>
    <t>15264</t>
  </si>
  <si>
    <t>James Karinchak</t>
  </si>
  <si>
    <t>20151</t>
  </si>
  <si>
    <t>Lou Trivino</t>
  </si>
  <si>
    <t>6.163</t>
  </si>
  <si>
    <t>15043</t>
  </si>
  <si>
    <t>Max Stassi</t>
  </si>
  <si>
    <t>10059</t>
  </si>
  <si>
    <t>Dylan Covey</t>
  </si>
  <si>
    <t>4.119</t>
  </si>
  <si>
    <t>14825</t>
  </si>
  <si>
    <t>Noah Syndergaard</t>
  </si>
  <si>
    <t>8.131</t>
  </si>
  <si>
    <t>11762</t>
  </si>
  <si>
    <t>Anthony DeSclafani</t>
  </si>
  <si>
    <t>10.062</t>
  </si>
  <si>
    <t>13050</t>
  </si>
  <si>
    <t>José Urquidy</t>
  </si>
  <si>
    <t>5.049</t>
  </si>
  <si>
    <t>18413</t>
  </si>
  <si>
    <t>Shintaro Fujinami</t>
  </si>
  <si>
    <t>1.079</t>
  </si>
  <si>
    <t>31839</t>
  </si>
  <si>
    <t>Trevor Gott</t>
  </si>
  <si>
    <t>6.057</t>
  </si>
  <si>
    <t>15046</t>
  </si>
  <si>
    <t>Daniel Bard</t>
  </si>
  <si>
    <t>7115</t>
  </si>
  <si>
    <t>sa3012639</t>
  </si>
  <si>
    <t>JPN</t>
  </si>
  <si>
    <t>sa3025685</t>
  </si>
  <si>
    <t>sa3025686</t>
  </si>
  <si>
    <t>sa3058454</t>
  </si>
  <si>
    <t>OF</t>
  </si>
  <si>
    <t>Pick</t>
  </si>
  <si>
    <t>Salary</t>
  </si>
  <si>
    <t>Choice</t>
  </si>
  <si>
    <t>DH/UTIL</t>
  </si>
  <si>
    <t>"pinch hitter/Util"</t>
  </si>
  <si>
    <t>=</t>
  </si>
  <si>
    <t>Minor League_RF</t>
  </si>
  <si>
    <t>Minor League_C</t>
  </si>
  <si>
    <t>Minor League_DH/UTIL</t>
  </si>
  <si>
    <t>Minor League_SP1</t>
  </si>
  <si>
    <t>Minor League_SP2</t>
  </si>
  <si>
    <t>Minor League_RP1</t>
  </si>
  <si>
    <t>Minor League_RP2</t>
  </si>
  <si>
    <t>Total Players</t>
  </si>
  <si>
    <t>(can't count for multiple except QO)</t>
  </si>
  <si>
    <t>Med Annual Salary</t>
  </si>
  <si>
    <t>AAV Check</t>
  </si>
  <si>
    <t>Filters:</t>
  </si>
  <si>
    <t>*Want them to have some salary info we can use</t>
  </si>
  <si>
    <t>*Positions we care about -&gt;</t>
  </si>
  <si>
    <t>*Greater than 0 WAR (manual selection)</t>
  </si>
  <si>
    <t>Used_AAV</t>
  </si>
  <si>
    <t>Currently leaving duplicates in (e.g. Craig Kimbrel), often due to 2-team season</t>
  </si>
  <si>
    <t>Catcher</t>
  </si>
  <si>
    <t>Hardcoded Catcher (substring CF was catching as C)</t>
  </si>
  <si>
    <t>If listed as OF, gift them LF/CF/RF as they are utility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</si>
</sst>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44" fontId="0" fillId="0" borderId="0" xfId="1" applyFont="1"/>
    <xf numFmtId="0" fontId="0" fillId="0" borderId="0" xfId="0" quotePrefix="1"/>
    <xf numFmtId="0" fontId="0" fillId="3" borderId="0" xfId="0" applyFill="1"/>
    <xf numFmtId="0" fontId="2" fillId="0" borderId="0" xfId="0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587376</xdr:colOff>
      <xdr:row>1</xdr:row>
      <xdr:rowOff>25400</xdr:rowOff>
    </xdr:from>
    <xdr:to>
      <xdr:col>34</xdr:col>
      <xdr:colOff>590319</xdr:colOff>
      <xdr:row>50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2025C1-B454-ED32-CC2F-CBC20E5AA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09051" y="206375"/>
          <a:ext cx="1831743" cy="645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BD3F-9591-42DD-A417-65FCF29227CD}">
  <dimension ref="A1:AF170"/>
  <sheetViews>
    <sheetView tabSelected="1" zoomScaleNormal="100" workbookViewId="0">
      <selection activeCell="C17" sqref="C17"/>
    </sheetView>
  </sheetViews>
  <sheetFormatPr defaultRowHeight="14.5" x14ac:dyDescent="0.35"/>
  <cols>
    <col min="1" max="1" width="36.90625" customWidth="1"/>
    <col min="2" max="2" width="16.54296875" customWidth="1"/>
    <col min="3" max="3" width="33.81640625" customWidth="1"/>
    <col min="4" max="4" width="14.1796875" customWidth="1"/>
    <col min="5" max="5" width="21.453125" customWidth="1"/>
    <col min="6" max="6" width="10.6328125" customWidth="1"/>
    <col min="7" max="7" width="20" customWidth="1"/>
    <col min="8" max="8" width="12.54296875" customWidth="1"/>
    <col min="9" max="9" width="12.453125" bestFit="1" customWidth="1"/>
    <col min="11" max="11" width="10" customWidth="1"/>
    <col min="12" max="12" width="9.81640625" bestFit="1" customWidth="1"/>
    <col min="13" max="13" width="14.36328125" customWidth="1"/>
    <col min="17" max="17" width="20" customWidth="1"/>
  </cols>
  <sheetData>
    <row r="1" spans="1:32" x14ac:dyDescent="0.35">
      <c r="B1" t="s">
        <v>879</v>
      </c>
      <c r="C1" s="2">
        <f>SUMPRODUCT($A$16:$A$198,$AF$16:$AF$198)</f>
        <v>82569354</v>
      </c>
      <c r="D1" t="s">
        <v>8</v>
      </c>
      <c r="E1" s="2">
        <v>82994591</v>
      </c>
      <c r="G1" s="5" t="s">
        <v>866</v>
      </c>
      <c r="H1" s="5" t="s">
        <v>11</v>
      </c>
      <c r="I1" s="5" t="s">
        <v>865</v>
      </c>
    </row>
    <row r="2" spans="1:32" x14ac:dyDescent="0.35">
      <c r="B2" t="s">
        <v>25</v>
      </c>
      <c r="C2">
        <f>SUMPRODUCT($A$16:$A$198,$S$16:$S$198)</f>
        <v>1</v>
      </c>
      <c r="D2" t="s">
        <v>8</v>
      </c>
      <c r="E2">
        <v>1</v>
      </c>
      <c r="G2" t="str" cm="1">
        <f t="array" ref="G2">_xlfn._xlws.FILTER($B$16:$B$198, ($A$16:$A$198 = 1)*($S$16:$S$198 = 1), "")</f>
        <v>Juan Soto</v>
      </c>
      <c r="H2" cm="1">
        <f t="array" ref="H2">_xlfn._xlws.FILTER($J$16:$J$198, ($A$16:$A$198 = 1)*($S$16:$S$198 = 1), "")</f>
        <v>6.0155210494995117</v>
      </c>
      <c r="I2" cm="1">
        <f t="array" ref="I2">_xlfn._xlws.FILTER($AF$16:$AF$198, ($A$16:$A$198 = 1)*($S$16:$S$198 = 1), "")</f>
        <v>45000000</v>
      </c>
    </row>
    <row r="3" spans="1:32" x14ac:dyDescent="0.35">
      <c r="B3" t="s">
        <v>10</v>
      </c>
      <c r="C3">
        <f>SUMPRODUCT($A$16:$A$198,$T$16:$T$198)</f>
        <v>2</v>
      </c>
      <c r="D3" s="3" t="s">
        <v>869</v>
      </c>
      <c r="E3">
        <v>2</v>
      </c>
      <c r="G3" t="str" cm="1">
        <f t="array" ref="G3:G4">_xlfn._xlws.FILTER($B$16:$B$198, ($A$16:$A$198 = 1)*($T$16:$T$198 = 1), "")</f>
        <v>Yusei Kikuchi</v>
      </c>
      <c r="H3" cm="1">
        <f t="array" ref="H3:H4">_xlfn._xlws.FILTER($J$16:$J$198, ($A$16:$A$198 = 1)*($T$16:$T$198 = 1), "")</f>
        <v>2.9929993152618408</v>
      </c>
      <c r="I3" cm="1">
        <f t="array" ref="I3:I4">_xlfn._xlws.FILTER($AF$16:$AF$198, ($A$16:$A$198 = 1)*($T$16:$T$198 = 1), "")</f>
        <v>18000000</v>
      </c>
    </row>
    <row r="4" spans="1:32" x14ac:dyDescent="0.35">
      <c r="C4">
        <v>0</v>
      </c>
      <c r="E4">
        <v>0</v>
      </c>
      <c r="G4" t="str">
        <v>Clay Holmes</v>
      </c>
      <c r="H4">
        <v>2.1516938209533691</v>
      </c>
      <c r="I4">
        <v>10000000</v>
      </c>
      <c r="J4" s="6"/>
    </row>
    <row r="5" spans="1:32" x14ac:dyDescent="0.35">
      <c r="B5" t="s">
        <v>9</v>
      </c>
      <c r="C5">
        <f>SUMPRODUCT($A$16:$A$198,$U$16:$U$198)</f>
        <v>2</v>
      </c>
      <c r="D5" s="3" t="s">
        <v>869</v>
      </c>
      <c r="E5">
        <v>2</v>
      </c>
      <c r="G5" t="str" cm="1">
        <f t="array" ref="G5:G6">_xlfn._xlws.FILTER($B$16:$B$198, ($A$16:$A$198 = 1)*($U$16:$U$198 = 1), "")</f>
        <v>Luke Jackson</v>
      </c>
      <c r="H5" cm="1">
        <f t="array" ref="H5:H6">_xlfn._xlws.FILTER($J$16:$J$198, ($A$16:$A$198 = 1)*($U$16:$U$198 = 1), "")</f>
        <v>0.23130252957344055</v>
      </c>
      <c r="I5" cm="1">
        <f t="array" ref="I5:I6">_xlfn._xlws.FILTER($AF$16:$AF$198, ($A$16:$A$198 = 1)*($U$16:$U$198 = 1), "")</f>
        <v>265591</v>
      </c>
    </row>
    <row r="6" spans="1:32" x14ac:dyDescent="0.35">
      <c r="C6">
        <v>0</v>
      </c>
      <c r="E6">
        <v>0</v>
      </c>
      <c r="G6" t="str">
        <v>Adam Ottavino</v>
      </c>
      <c r="H6">
        <v>0.14225183427333832</v>
      </c>
      <c r="I6">
        <v>53763</v>
      </c>
    </row>
    <row r="7" spans="1:32" x14ac:dyDescent="0.35">
      <c r="B7" t="s">
        <v>3</v>
      </c>
      <c r="C7">
        <f>SUMPRODUCT($A$16:$A$198,$V$16:$V$198)</f>
        <v>1</v>
      </c>
      <c r="D7" s="3" t="s">
        <v>869</v>
      </c>
      <c r="E7">
        <v>1</v>
      </c>
      <c r="G7" t="str" cm="1">
        <f t="array" ref="G7">_xlfn._xlws.FILTER($B$16:$B$198, ($A$16:$A$198 = 1)*($V$16:$V$198 = 1), "")</f>
        <v>Carson Kelly</v>
      </c>
      <c r="H7" cm="1">
        <f t="array" ref="H7">_xlfn._xlws.FILTER($J$16:$J$198, ($A$16:$A$198 = 1)*($V$16:$V$198 = 1), "")</f>
        <v>1.4981144666671753</v>
      </c>
      <c r="I7" cm="1">
        <f t="array" ref="I7">_xlfn._xlws.FILTER($AF$16:$AF$198, ($A$16:$A$198 = 1)*($V$16:$V$198 = 1), "")</f>
        <v>5750000</v>
      </c>
    </row>
    <row r="8" spans="1:32" x14ac:dyDescent="0.35">
      <c r="B8" t="s">
        <v>7</v>
      </c>
      <c r="C8">
        <f>SUMPRODUCT($A$16:$A$198,$AC$16:$AC$198)</f>
        <v>1</v>
      </c>
      <c r="D8" s="3" t="s">
        <v>869</v>
      </c>
      <c r="E8">
        <v>1</v>
      </c>
      <c r="G8" t="str" cm="1">
        <f t="array" ref="G8">_xlfn._xlws.FILTER($B$16:$B$198, ($A$16:$A$198 = 1)*($AC$16:$AC$198 = 1), "")</f>
        <v>Juan Soto</v>
      </c>
      <c r="H8" cm="1">
        <f t="array" ref="H8">_xlfn._xlws.FILTER($J$16:$J$198, ($A$16:$A$198 = 1)*($AC$16:$AC$198 = 1), "")</f>
        <v>6.0155210494995117</v>
      </c>
      <c r="I8" cm="1">
        <f t="array" ref="I8">_xlfn._xlws.FILTER($AF$16:$AF$198, ($A$16:$A$198 = 1)*($AC$16:$AC$198 = 1), "")</f>
        <v>45000000</v>
      </c>
    </row>
    <row r="9" spans="1:32" x14ac:dyDescent="0.35">
      <c r="A9" t="s">
        <v>868</v>
      </c>
      <c r="B9" t="s">
        <v>347</v>
      </c>
      <c r="C9">
        <f>SUMPRODUCT($A$16:$A$198,$AE$16:$AE$198)</f>
        <v>1</v>
      </c>
      <c r="D9" s="3" t="s">
        <v>869</v>
      </c>
      <c r="E9">
        <v>1</v>
      </c>
      <c r="G9" t="str" cm="1">
        <f t="array" ref="G9">_xlfn._xlws.FILTER($B$16:$B$198, ($A$16:$A$198 = 1)*($AE$16:$AE$198 = 1), "")</f>
        <v>Donovan Solano</v>
      </c>
      <c r="H9" cm="1">
        <f t="array" ref="H9">_xlfn._xlws.FILTER($J$16:$J$198, ($A$16:$A$198 = 1)*($AE$16:$AE$198 = 1), "")</f>
        <v>0.44243860244750977</v>
      </c>
      <c r="I9" cm="1">
        <f t="array" ref="I9">_xlfn._xlws.FILTER($AF$16:$AF$198, ($A$16:$A$198 = 1)*($AE$16:$AE$198 = 1), "")</f>
        <v>3500000</v>
      </c>
    </row>
    <row r="10" spans="1:32" x14ac:dyDescent="0.35">
      <c r="A10" t="s">
        <v>878</v>
      </c>
      <c r="B10" t="s">
        <v>877</v>
      </c>
      <c r="C10">
        <f>SUM(A16:A198)</f>
        <v>7</v>
      </c>
      <c r="D10" t="s">
        <v>869</v>
      </c>
      <c r="E10">
        <v>7</v>
      </c>
    </row>
    <row r="12" spans="1:32" x14ac:dyDescent="0.35">
      <c r="B12" t="s">
        <v>11</v>
      </c>
      <c r="C12" s="4">
        <f>SUMPRODUCT($A$16:$A$198, $J$16:$J$198)</f>
        <v>13.474321618676186</v>
      </c>
    </row>
    <row r="15" spans="1:32" x14ac:dyDescent="0.35">
      <c r="A15" t="s">
        <v>864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25</v>
      </c>
      <c r="T15" t="s">
        <v>10</v>
      </c>
      <c r="U15" t="s">
        <v>9</v>
      </c>
      <c r="V15" t="s">
        <v>3</v>
      </c>
      <c r="W15" t="s">
        <v>0</v>
      </c>
      <c r="X15" t="s">
        <v>1</v>
      </c>
      <c r="Y15" t="s">
        <v>4</v>
      </c>
      <c r="Z15" t="s">
        <v>2</v>
      </c>
      <c r="AA15" t="s">
        <v>5</v>
      </c>
      <c r="AB15" t="s">
        <v>6</v>
      </c>
      <c r="AC15" t="s">
        <v>7</v>
      </c>
      <c r="AD15" t="s">
        <v>863</v>
      </c>
      <c r="AE15" t="s">
        <v>347</v>
      </c>
      <c r="AF15" t="s">
        <v>885</v>
      </c>
    </row>
    <row r="16" spans="1:32" x14ac:dyDescent="0.35">
      <c r="A16" s="1">
        <v>0</v>
      </c>
      <c r="B16" t="s">
        <v>870</v>
      </c>
      <c r="C16" t="s">
        <v>7</v>
      </c>
      <c r="J16">
        <v>0</v>
      </c>
      <c r="M16">
        <v>760000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f>IF(M16="", R16, M16)</f>
        <v>760000</v>
      </c>
    </row>
    <row r="17" spans="1:32" x14ac:dyDescent="0.35">
      <c r="A17" s="1">
        <v>0</v>
      </c>
      <c r="B17" t="s">
        <v>871</v>
      </c>
      <c r="C17" t="s">
        <v>3</v>
      </c>
      <c r="J17">
        <v>0</v>
      </c>
      <c r="M17">
        <v>760000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ref="AF17:AF80" si="0">IF(M17="", R17, M17)</f>
        <v>760000</v>
      </c>
    </row>
    <row r="18" spans="1:32" x14ac:dyDescent="0.35">
      <c r="A18" s="1">
        <v>0</v>
      </c>
      <c r="B18" t="s">
        <v>872</v>
      </c>
      <c r="C18" t="s">
        <v>867</v>
      </c>
      <c r="J18">
        <v>0</v>
      </c>
      <c r="M18">
        <v>760000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f t="shared" si="0"/>
        <v>760000</v>
      </c>
    </row>
    <row r="19" spans="1:32" x14ac:dyDescent="0.35">
      <c r="A19" s="1">
        <v>0</v>
      </c>
      <c r="B19" t="s">
        <v>873</v>
      </c>
      <c r="C19" t="s">
        <v>10</v>
      </c>
      <c r="J19">
        <v>0</v>
      </c>
      <c r="M19">
        <v>760000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760000</v>
      </c>
    </row>
    <row r="20" spans="1:32" x14ac:dyDescent="0.35">
      <c r="A20" s="1">
        <v>0</v>
      </c>
      <c r="B20" t="s">
        <v>874</v>
      </c>
      <c r="C20" t="s">
        <v>10</v>
      </c>
      <c r="J20">
        <v>0</v>
      </c>
      <c r="M20">
        <v>760000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0"/>
        <v>760000</v>
      </c>
    </row>
    <row r="21" spans="1:32" x14ac:dyDescent="0.35">
      <c r="A21" s="1">
        <v>0</v>
      </c>
      <c r="B21" t="s">
        <v>875</v>
      </c>
      <c r="C21" t="s">
        <v>9</v>
      </c>
      <c r="J21">
        <v>0</v>
      </c>
      <c r="M21">
        <v>760000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760000</v>
      </c>
    </row>
    <row r="22" spans="1:32" x14ac:dyDescent="0.35">
      <c r="A22" s="1">
        <v>0</v>
      </c>
      <c r="B22" t="s">
        <v>876</v>
      </c>
      <c r="C22" t="s">
        <v>9</v>
      </c>
      <c r="J22">
        <v>0</v>
      </c>
      <c r="M22">
        <v>760000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760000</v>
      </c>
    </row>
    <row r="23" spans="1:32" x14ac:dyDescent="0.35">
      <c r="A23" s="1">
        <v>1</v>
      </c>
      <c r="B23" t="s">
        <v>12</v>
      </c>
      <c r="C23" t="s">
        <v>32</v>
      </c>
      <c r="D23" t="s">
        <v>33</v>
      </c>
      <c r="E23" t="s">
        <v>33</v>
      </c>
      <c r="F23" t="s">
        <v>34</v>
      </c>
      <c r="G23">
        <v>26</v>
      </c>
      <c r="H23" t="s">
        <v>35</v>
      </c>
      <c r="I23">
        <v>8.2910079956054688</v>
      </c>
      <c r="J23">
        <v>6.0155210494995117</v>
      </c>
      <c r="K23">
        <v>13</v>
      </c>
      <c r="L23">
        <v>585000000</v>
      </c>
      <c r="M23">
        <v>45000000</v>
      </c>
      <c r="N23">
        <v>21050000</v>
      </c>
      <c r="O23" t="s">
        <v>36</v>
      </c>
      <c r="P23">
        <v>15</v>
      </c>
      <c r="Q23">
        <v>765000000</v>
      </c>
      <c r="R23">
        <v>51000000</v>
      </c>
      <c r="S23">
        <f>IF(N23&gt;0, 1, 0)</f>
        <v>1</v>
      </c>
      <c r="T23">
        <f>IF(ISNUMBER(SEARCH("SP", $C23)), 1, 0)</f>
        <v>0</v>
      </c>
      <c r="U23">
        <f t="shared" ref="U23:U86" si="1">IF(ISNUMBER(SEARCH("RP", $C23)), 1, 0)</f>
        <v>0</v>
      </c>
      <c r="V23">
        <v>0</v>
      </c>
      <c r="W23">
        <f t="shared" ref="W23:W86" si="2">IF(ISNUMBER(SEARCH("1B", $C23)), 1, 0)</f>
        <v>0</v>
      </c>
      <c r="X23">
        <f t="shared" ref="X23:X86" si="3">IF(ISNUMBER(SEARCH("2B", $C23)), 1, 0)</f>
        <v>0</v>
      </c>
      <c r="Y23">
        <f t="shared" ref="Y23:Y86" si="4">IF(ISNUMBER(SEARCH("SS", $C23)), 1, 0)</f>
        <v>0</v>
      </c>
      <c r="Z23">
        <f t="shared" ref="Z23:Z86" si="5">IF(ISNUMBER(SEARCH("3B", $C23)), 1, 0)</f>
        <v>0</v>
      </c>
      <c r="AA23">
        <f>IF($AD23=1, 1, IF(ISNUMBER(SEARCH("LF", $C23)), 1, 0))</f>
        <v>1</v>
      </c>
      <c r="AB23">
        <f>IF($AD23=1, 1, IF(ISNUMBER(SEARCH("CF", $C23)), 1, 0))</f>
        <v>0</v>
      </c>
      <c r="AC23">
        <f>IF($AD23=1, 1, IF(ISNUMBER(SEARCH("RF", $C23)), 1, 0))</f>
        <v>1</v>
      </c>
      <c r="AD23">
        <f t="shared" ref="AD23:AD86" si="6">IF(ISNUMBER(SEARCH("OF", $C23)), 1, 0)</f>
        <v>0</v>
      </c>
      <c r="AE23">
        <f t="shared" ref="AE23:AE86" si="7">IF(ISNUMBER(SEARCH("DH", $C23)), 1, 0)</f>
        <v>0</v>
      </c>
      <c r="AF23">
        <f t="shared" si="0"/>
        <v>45000000</v>
      </c>
    </row>
    <row r="24" spans="1:32" x14ac:dyDescent="0.35">
      <c r="A24" s="1">
        <v>0</v>
      </c>
      <c r="B24" t="s">
        <v>55</v>
      </c>
      <c r="C24" t="s">
        <v>10</v>
      </c>
      <c r="D24" t="s">
        <v>39</v>
      </c>
      <c r="E24" t="s">
        <v>39</v>
      </c>
      <c r="F24" t="s">
        <v>56</v>
      </c>
      <c r="G24">
        <v>30</v>
      </c>
      <c r="H24" t="s">
        <v>57</v>
      </c>
      <c r="I24">
        <v>3.8361482620239258</v>
      </c>
      <c r="J24">
        <v>3.6227576732635498</v>
      </c>
      <c r="K24">
        <v>6</v>
      </c>
      <c r="L24">
        <v>180000000</v>
      </c>
      <c r="M24">
        <v>30000000</v>
      </c>
      <c r="N24">
        <v>21050000</v>
      </c>
      <c r="O24" t="s">
        <v>58</v>
      </c>
      <c r="P24">
        <v>6</v>
      </c>
      <c r="Q24">
        <v>210000000</v>
      </c>
      <c r="R24">
        <v>33041322</v>
      </c>
      <c r="S24">
        <f t="shared" ref="S24:S59" si="8">IF(N24&gt;0, 1, 0)</f>
        <v>1</v>
      </c>
      <c r="T24">
        <f t="shared" ref="T24:T87" si="9">IF(ISNUMBER(SEARCH("SP", $C24)), 1, 0)</f>
        <v>1</v>
      </c>
      <c r="U24">
        <f t="shared" si="1"/>
        <v>0</v>
      </c>
      <c r="V24">
        <v>0</v>
      </c>
      <c r="W24">
        <f t="shared" si="2"/>
        <v>0</v>
      </c>
      <c r="X24">
        <f t="shared" si="3"/>
        <v>0</v>
      </c>
      <c r="Y24">
        <f t="shared" si="4"/>
        <v>0</v>
      </c>
      <c r="Z24">
        <f t="shared" si="5"/>
        <v>0</v>
      </c>
      <c r="AA24">
        <f t="shared" ref="AA24:AA87" si="10">IF($AD24=1, 1, IF(ISNUMBER(SEARCH("LF", $C24)), 1, 0))</f>
        <v>0</v>
      </c>
      <c r="AB24">
        <f t="shared" ref="AB24:AB87" si="11">IF($AD24=1, 1, IF(ISNUMBER(SEARCH("CF", $C24)), 1, 0))</f>
        <v>0</v>
      </c>
      <c r="AC24">
        <f t="shared" ref="AC24:AC87" si="12">IF($AD24=1, 1, IF(ISNUMBER(SEARCH("RF", $C24)), 1, 0))</f>
        <v>0</v>
      </c>
      <c r="AD24">
        <f t="shared" si="6"/>
        <v>0</v>
      </c>
      <c r="AE24">
        <f t="shared" si="7"/>
        <v>0</v>
      </c>
      <c r="AF24">
        <f t="shared" si="0"/>
        <v>30000000</v>
      </c>
    </row>
    <row r="25" spans="1:32" x14ac:dyDescent="0.35">
      <c r="A25" s="1">
        <v>0</v>
      </c>
      <c r="B25" t="s">
        <v>88</v>
      </c>
      <c r="C25" t="s">
        <v>10</v>
      </c>
      <c r="D25" t="s">
        <v>33</v>
      </c>
      <c r="E25" t="s">
        <v>33</v>
      </c>
      <c r="F25" t="s">
        <v>42</v>
      </c>
      <c r="G25">
        <v>32</v>
      </c>
      <c r="H25" t="s">
        <v>89</v>
      </c>
      <c r="I25">
        <v>3.0745391845703125</v>
      </c>
      <c r="J25">
        <v>3.4065380096435547</v>
      </c>
      <c r="K25">
        <v>4</v>
      </c>
      <c r="L25">
        <v>120000000</v>
      </c>
      <c r="M25">
        <v>30000000</v>
      </c>
      <c r="O25" t="s">
        <v>66</v>
      </c>
      <c r="P25">
        <v>5</v>
      </c>
      <c r="Q25">
        <v>182000000</v>
      </c>
      <c r="R25">
        <v>31357257</v>
      </c>
      <c r="S25">
        <f t="shared" si="8"/>
        <v>0</v>
      </c>
      <c r="T25">
        <f t="shared" si="9"/>
        <v>1</v>
      </c>
      <c r="U25">
        <f t="shared" si="1"/>
        <v>0</v>
      </c>
      <c r="V25">
        <v>0</v>
      </c>
      <c r="W25">
        <f t="shared" si="2"/>
        <v>0</v>
      </c>
      <c r="X25">
        <f t="shared" si="3"/>
        <v>0</v>
      </c>
      <c r="Y25">
        <f t="shared" si="4"/>
        <v>0</v>
      </c>
      <c r="Z25">
        <f t="shared" si="5"/>
        <v>0</v>
      </c>
      <c r="AA25">
        <f t="shared" si="10"/>
        <v>0</v>
      </c>
      <c r="AB25">
        <f t="shared" si="11"/>
        <v>0</v>
      </c>
      <c r="AC25">
        <f t="shared" si="12"/>
        <v>0</v>
      </c>
      <c r="AD25">
        <f t="shared" si="6"/>
        <v>0</v>
      </c>
      <c r="AE25">
        <f t="shared" si="7"/>
        <v>0</v>
      </c>
      <c r="AF25">
        <f t="shared" si="0"/>
        <v>30000000</v>
      </c>
    </row>
    <row r="26" spans="1:32" x14ac:dyDescent="0.35">
      <c r="A26" s="1">
        <v>0</v>
      </c>
      <c r="B26" t="s">
        <v>73</v>
      </c>
      <c r="C26" t="s">
        <v>10</v>
      </c>
      <c r="D26" t="s">
        <v>33</v>
      </c>
      <c r="E26" t="s">
        <v>33</v>
      </c>
      <c r="F26" t="s">
        <v>48</v>
      </c>
      <c r="G26">
        <v>31</v>
      </c>
      <c r="H26" t="s">
        <v>74</v>
      </c>
      <c r="I26">
        <v>3.3708357810974121</v>
      </c>
      <c r="J26">
        <v>3.2881619930267334</v>
      </c>
      <c r="K26">
        <v>5</v>
      </c>
      <c r="L26">
        <v>125000000</v>
      </c>
      <c r="M26">
        <v>25000000</v>
      </c>
      <c r="N26">
        <v>21050000</v>
      </c>
      <c r="O26" t="s">
        <v>34</v>
      </c>
      <c r="P26">
        <v>8</v>
      </c>
      <c r="Q26">
        <v>218000000</v>
      </c>
      <c r="R26">
        <v>27250000</v>
      </c>
      <c r="S26">
        <f t="shared" si="8"/>
        <v>1</v>
      </c>
      <c r="T26">
        <f t="shared" si="9"/>
        <v>1</v>
      </c>
      <c r="U26">
        <f t="shared" si="1"/>
        <v>0</v>
      </c>
      <c r="V26">
        <v>0</v>
      </c>
      <c r="W26">
        <f t="shared" si="2"/>
        <v>0</v>
      </c>
      <c r="X26">
        <f t="shared" si="3"/>
        <v>0</v>
      </c>
      <c r="Y26">
        <f t="shared" si="4"/>
        <v>0</v>
      </c>
      <c r="Z26">
        <f t="shared" si="5"/>
        <v>0</v>
      </c>
      <c r="AA26">
        <f t="shared" si="10"/>
        <v>0</v>
      </c>
      <c r="AB26">
        <f t="shared" si="11"/>
        <v>0</v>
      </c>
      <c r="AC26">
        <f t="shared" si="12"/>
        <v>0</v>
      </c>
      <c r="AD26">
        <f t="shared" si="6"/>
        <v>0</v>
      </c>
      <c r="AE26">
        <f t="shared" si="7"/>
        <v>0</v>
      </c>
      <c r="AF26">
        <f t="shared" si="0"/>
        <v>25000000</v>
      </c>
    </row>
    <row r="27" spans="1:32" x14ac:dyDescent="0.35">
      <c r="A27" s="1">
        <v>1</v>
      </c>
      <c r="B27" t="s">
        <v>60</v>
      </c>
      <c r="C27" t="s">
        <v>10</v>
      </c>
      <c r="D27" t="s">
        <v>33</v>
      </c>
      <c r="E27" t="s">
        <v>33</v>
      </c>
      <c r="F27" t="s">
        <v>51</v>
      </c>
      <c r="G27">
        <v>34</v>
      </c>
      <c r="H27" t="s">
        <v>61</v>
      </c>
      <c r="I27">
        <v>3.6429600715637207</v>
      </c>
      <c r="J27">
        <v>2.9929993152618408</v>
      </c>
      <c r="K27">
        <v>3</v>
      </c>
      <c r="L27">
        <v>54000000</v>
      </c>
      <c r="M27">
        <v>18000000</v>
      </c>
      <c r="O27" t="s">
        <v>62</v>
      </c>
      <c r="P27">
        <v>3</v>
      </c>
      <c r="Q27">
        <v>63000000</v>
      </c>
      <c r="R27">
        <v>21000000</v>
      </c>
      <c r="S27">
        <f t="shared" si="8"/>
        <v>0</v>
      </c>
      <c r="T27">
        <f t="shared" si="9"/>
        <v>1</v>
      </c>
      <c r="U27">
        <f t="shared" si="1"/>
        <v>0</v>
      </c>
      <c r="V27">
        <v>0</v>
      </c>
      <c r="W27">
        <f t="shared" si="2"/>
        <v>0</v>
      </c>
      <c r="X27">
        <f t="shared" si="3"/>
        <v>0</v>
      </c>
      <c r="Y27">
        <f t="shared" si="4"/>
        <v>0</v>
      </c>
      <c r="Z27">
        <f t="shared" si="5"/>
        <v>0</v>
      </c>
      <c r="AA27">
        <f t="shared" si="10"/>
        <v>0</v>
      </c>
      <c r="AB27">
        <f t="shared" si="11"/>
        <v>0</v>
      </c>
      <c r="AC27">
        <f t="shared" si="12"/>
        <v>0</v>
      </c>
      <c r="AD27">
        <f t="shared" si="6"/>
        <v>0</v>
      </c>
      <c r="AE27">
        <f t="shared" si="7"/>
        <v>0</v>
      </c>
      <c r="AF27">
        <f t="shared" si="0"/>
        <v>18000000</v>
      </c>
    </row>
    <row r="28" spans="1:32" x14ac:dyDescent="0.35">
      <c r="A28" s="1">
        <v>0</v>
      </c>
      <c r="B28" t="s">
        <v>112</v>
      </c>
      <c r="C28" t="s">
        <v>10</v>
      </c>
      <c r="D28" t="s">
        <v>39</v>
      </c>
      <c r="E28" t="s">
        <v>39</v>
      </c>
      <c r="F28" t="s">
        <v>97</v>
      </c>
      <c r="G28">
        <v>35</v>
      </c>
      <c r="H28" t="s">
        <v>113</v>
      </c>
      <c r="I28">
        <v>2.6279804706573486</v>
      </c>
      <c r="J28">
        <v>2.863853931427002</v>
      </c>
      <c r="K28">
        <v>3</v>
      </c>
      <c r="L28">
        <v>60000000</v>
      </c>
      <c r="M28">
        <v>20000000</v>
      </c>
      <c r="O28" t="s">
        <v>97</v>
      </c>
      <c r="P28">
        <v>3</v>
      </c>
      <c r="Q28">
        <v>75000000</v>
      </c>
      <c r="R28">
        <v>25000000</v>
      </c>
      <c r="S28">
        <f t="shared" si="8"/>
        <v>0</v>
      </c>
      <c r="T28">
        <f t="shared" si="9"/>
        <v>1</v>
      </c>
      <c r="U28">
        <f t="shared" si="1"/>
        <v>0</v>
      </c>
      <c r="V28">
        <v>0</v>
      </c>
      <c r="W28">
        <f t="shared" si="2"/>
        <v>0</v>
      </c>
      <c r="X28">
        <f t="shared" si="3"/>
        <v>0</v>
      </c>
      <c r="Y28">
        <f t="shared" si="4"/>
        <v>0</v>
      </c>
      <c r="Z28">
        <f t="shared" si="5"/>
        <v>0</v>
      </c>
      <c r="AA28">
        <f t="shared" si="10"/>
        <v>0</v>
      </c>
      <c r="AB28">
        <f t="shared" si="11"/>
        <v>0</v>
      </c>
      <c r="AC28">
        <f t="shared" si="12"/>
        <v>0</v>
      </c>
      <c r="AD28">
        <f t="shared" si="6"/>
        <v>0</v>
      </c>
      <c r="AE28">
        <f t="shared" si="7"/>
        <v>0</v>
      </c>
      <c r="AF28">
        <f t="shared" si="0"/>
        <v>20000000</v>
      </c>
    </row>
    <row r="29" spans="1:32" x14ac:dyDescent="0.35">
      <c r="A29" s="1">
        <v>0</v>
      </c>
      <c r="B29" t="s">
        <v>76</v>
      </c>
      <c r="C29" t="s">
        <v>10</v>
      </c>
      <c r="D29" t="s">
        <v>39</v>
      </c>
      <c r="E29" t="s">
        <v>39</v>
      </c>
      <c r="F29" t="s">
        <v>66</v>
      </c>
      <c r="G29">
        <v>29</v>
      </c>
      <c r="H29" t="s">
        <v>77</v>
      </c>
      <c r="I29">
        <v>3.3211297988891602</v>
      </c>
      <c r="J29">
        <v>2.5394833087921143</v>
      </c>
      <c r="K29">
        <v>4</v>
      </c>
      <c r="L29">
        <v>88000000</v>
      </c>
      <c r="M29">
        <v>22000000</v>
      </c>
      <c r="O29" t="s">
        <v>78</v>
      </c>
      <c r="P29">
        <v>2</v>
      </c>
      <c r="Q29">
        <v>45000000</v>
      </c>
      <c r="R29">
        <v>22500000</v>
      </c>
      <c r="S29">
        <f t="shared" si="8"/>
        <v>0</v>
      </c>
      <c r="T29">
        <f t="shared" si="9"/>
        <v>1</v>
      </c>
      <c r="U29">
        <f t="shared" si="1"/>
        <v>0</v>
      </c>
      <c r="V29">
        <v>0</v>
      </c>
      <c r="W29">
        <f t="shared" si="2"/>
        <v>0</v>
      </c>
      <c r="X29">
        <f t="shared" si="3"/>
        <v>0</v>
      </c>
      <c r="Y29">
        <f t="shared" si="4"/>
        <v>0</v>
      </c>
      <c r="Z29">
        <f t="shared" si="5"/>
        <v>0</v>
      </c>
      <c r="AA29">
        <f t="shared" si="10"/>
        <v>0</v>
      </c>
      <c r="AB29">
        <f t="shared" si="11"/>
        <v>0</v>
      </c>
      <c r="AC29">
        <f t="shared" si="12"/>
        <v>0</v>
      </c>
      <c r="AD29">
        <f t="shared" si="6"/>
        <v>0</v>
      </c>
      <c r="AE29">
        <f t="shared" si="7"/>
        <v>0</v>
      </c>
      <c r="AF29">
        <f t="shared" si="0"/>
        <v>22000000</v>
      </c>
    </row>
    <row r="30" spans="1:32" x14ac:dyDescent="0.35">
      <c r="A30" s="1">
        <v>0</v>
      </c>
      <c r="B30" t="s">
        <v>84</v>
      </c>
      <c r="C30" t="s">
        <v>65</v>
      </c>
      <c r="D30" t="s">
        <v>45</v>
      </c>
      <c r="E30" t="s">
        <v>39</v>
      </c>
      <c r="F30" t="s">
        <v>56</v>
      </c>
      <c r="G30">
        <v>30</v>
      </c>
      <c r="H30" t="s">
        <v>85</v>
      </c>
      <c r="I30">
        <v>3.2152910232543945</v>
      </c>
      <c r="J30">
        <v>2.4824109077453613</v>
      </c>
      <c r="K30">
        <v>4</v>
      </c>
      <c r="L30">
        <v>80000000</v>
      </c>
      <c r="M30">
        <v>20000000</v>
      </c>
      <c r="N30">
        <v>21050000</v>
      </c>
      <c r="O30" t="s">
        <v>86</v>
      </c>
      <c r="P30">
        <v>5</v>
      </c>
      <c r="Q30">
        <v>92500000</v>
      </c>
      <c r="R30">
        <v>14314441</v>
      </c>
      <c r="S30">
        <f t="shared" si="8"/>
        <v>1</v>
      </c>
      <c r="T30">
        <f t="shared" si="9"/>
        <v>0</v>
      </c>
      <c r="U30">
        <f t="shared" si="1"/>
        <v>0</v>
      </c>
      <c r="V30">
        <v>0</v>
      </c>
      <c r="W30">
        <f t="shared" si="2"/>
        <v>0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10"/>
        <v>1</v>
      </c>
      <c r="AB30">
        <f t="shared" si="11"/>
        <v>0</v>
      </c>
      <c r="AC30">
        <f t="shared" si="12"/>
        <v>1</v>
      </c>
      <c r="AD30">
        <f t="shared" si="6"/>
        <v>0</v>
      </c>
      <c r="AE30">
        <f t="shared" si="7"/>
        <v>0</v>
      </c>
      <c r="AF30">
        <f t="shared" si="0"/>
        <v>20000000</v>
      </c>
    </row>
    <row r="31" spans="1:32" x14ac:dyDescent="0.35">
      <c r="A31" s="1">
        <v>0</v>
      </c>
      <c r="B31" t="s">
        <v>137</v>
      </c>
      <c r="C31" t="s">
        <v>10</v>
      </c>
      <c r="D31" t="s">
        <v>39</v>
      </c>
      <c r="E31" t="s">
        <v>39</v>
      </c>
      <c r="F31" t="s">
        <v>53</v>
      </c>
      <c r="G31">
        <v>32</v>
      </c>
      <c r="H31" t="s">
        <v>138</v>
      </c>
      <c r="I31">
        <v>2.0111303329467773</v>
      </c>
      <c r="J31">
        <v>2.3676526546478271</v>
      </c>
      <c r="K31">
        <v>3</v>
      </c>
      <c r="L31">
        <v>45000000</v>
      </c>
      <c r="M31">
        <v>15000000</v>
      </c>
      <c r="N31">
        <v>21050000</v>
      </c>
      <c r="O31" t="s">
        <v>46</v>
      </c>
      <c r="P31">
        <v>4</v>
      </c>
      <c r="Q31">
        <v>55000000</v>
      </c>
      <c r="R31">
        <v>13750000</v>
      </c>
      <c r="S31">
        <f t="shared" si="8"/>
        <v>1</v>
      </c>
      <c r="T31">
        <f t="shared" si="9"/>
        <v>1</v>
      </c>
      <c r="U31">
        <f t="shared" si="1"/>
        <v>0</v>
      </c>
      <c r="V31">
        <v>0</v>
      </c>
      <c r="W31">
        <f t="shared" si="2"/>
        <v>0</v>
      </c>
      <c r="X31">
        <f t="shared" si="3"/>
        <v>0</v>
      </c>
      <c r="Y31">
        <f t="shared" si="4"/>
        <v>0</v>
      </c>
      <c r="Z31">
        <f t="shared" si="5"/>
        <v>0</v>
      </c>
      <c r="AA31">
        <f t="shared" si="10"/>
        <v>0</v>
      </c>
      <c r="AB31">
        <f t="shared" si="11"/>
        <v>0</v>
      </c>
      <c r="AC31">
        <f t="shared" si="12"/>
        <v>0</v>
      </c>
      <c r="AD31">
        <f t="shared" si="6"/>
        <v>0</v>
      </c>
      <c r="AE31">
        <f t="shared" si="7"/>
        <v>0</v>
      </c>
      <c r="AF31">
        <f t="shared" si="0"/>
        <v>15000000</v>
      </c>
    </row>
    <row r="32" spans="1:32" x14ac:dyDescent="0.35">
      <c r="A32" s="1">
        <v>0</v>
      </c>
      <c r="B32" t="s">
        <v>64</v>
      </c>
      <c r="C32" t="s">
        <v>65</v>
      </c>
      <c r="D32" t="s">
        <v>39</v>
      </c>
      <c r="E32" t="s">
        <v>39</v>
      </c>
      <c r="F32" t="s">
        <v>66</v>
      </c>
      <c r="G32">
        <v>32</v>
      </c>
      <c r="H32" t="s">
        <v>67</v>
      </c>
      <c r="I32">
        <v>3.4158172607421875</v>
      </c>
      <c r="J32">
        <v>2.2135863304138184</v>
      </c>
      <c r="K32">
        <v>3</v>
      </c>
      <c r="L32">
        <v>69000000</v>
      </c>
      <c r="M32">
        <v>23000000</v>
      </c>
      <c r="N32">
        <v>21050000</v>
      </c>
      <c r="O32" t="s">
        <v>66</v>
      </c>
      <c r="P32">
        <v>3</v>
      </c>
      <c r="Q32">
        <v>66000000</v>
      </c>
      <c r="R32">
        <v>19957137</v>
      </c>
      <c r="S32">
        <f t="shared" si="8"/>
        <v>1</v>
      </c>
      <c r="T32">
        <f t="shared" si="9"/>
        <v>0</v>
      </c>
      <c r="U32">
        <f t="shared" si="1"/>
        <v>0</v>
      </c>
      <c r="V32">
        <v>0</v>
      </c>
      <c r="W32">
        <f t="shared" si="2"/>
        <v>0</v>
      </c>
      <c r="X32">
        <f t="shared" si="3"/>
        <v>0</v>
      </c>
      <c r="Y32">
        <f t="shared" si="4"/>
        <v>0</v>
      </c>
      <c r="Z32">
        <f t="shared" si="5"/>
        <v>0</v>
      </c>
      <c r="AA32">
        <f t="shared" si="10"/>
        <v>1</v>
      </c>
      <c r="AB32">
        <f t="shared" si="11"/>
        <v>0</v>
      </c>
      <c r="AC32">
        <f t="shared" si="12"/>
        <v>1</v>
      </c>
      <c r="AD32">
        <f t="shared" si="6"/>
        <v>0</v>
      </c>
      <c r="AE32">
        <f t="shared" si="7"/>
        <v>0</v>
      </c>
      <c r="AF32">
        <f t="shared" si="0"/>
        <v>23000000</v>
      </c>
    </row>
    <row r="33" spans="1:32" x14ac:dyDescent="0.35">
      <c r="A33" s="1">
        <v>1</v>
      </c>
      <c r="B33" t="s">
        <v>215</v>
      </c>
      <c r="C33" t="s">
        <v>10</v>
      </c>
      <c r="D33" t="s">
        <v>39</v>
      </c>
      <c r="E33" t="s">
        <v>39</v>
      </c>
      <c r="F33" t="s">
        <v>34</v>
      </c>
      <c r="G33">
        <v>32</v>
      </c>
      <c r="H33" t="s">
        <v>216</v>
      </c>
      <c r="I33">
        <v>1.1604137420654297</v>
      </c>
      <c r="J33">
        <v>2.1516938209533691</v>
      </c>
      <c r="K33">
        <v>2</v>
      </c>
      <c r="L33">
        <v>20000000</v>
      </c>
      <c r="M33">
        <v>10000000</v>
      </c>
      <c r="O33" t="s">
        <v>36</v>
      </c>
      <c r="P33">
        <v>3</v>
      </c>
      <c r="Q33">
        <v>38000000</v>
      </c>
      <c r="R33">
        <v>12666666.66666667</v>
      </c>
      <c r="S33">
        <f t="shared" si="8"/>
        <v>0</v>
      </c>
      <c r="T33">
        <f t="shared" si="9"/>
        <v>1</v>
      </c>
      <c r="U33">
        <f t="shared" si="1"/>
        <v>0</v>
      </c>
      <c r="V33"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A33">
        <f t="shared" si="10"/>
        <v>0</v>
      </c>
      <c r="AB33">
        <f t="shared" si="11"/>
        <v>0</v>
      </c>
      <c r="AC33">
        <f t="shared" si="12"/>
        <v>0</v>
      </c>
      <c r="AD33">
        <f t="shared" si="6"/>
        <v>0</v>
      </c>
      <c r="AE33">
        <f t="shared" si="7"/>
        <v>0</v>
      </c>
      <c r="AF33">
        <f t="shared" si="0"/>
        <v>10000000</v>
      </c>
    </row>
    <row r="34" spans="1:32" x14ac:dyDescent="0.35">
      <c r="A34" s="1">
        <v>0</v>
      </c>
      <c r="B34" t="s">
        <v>80</v>
      </c>
      <c r="C34" t="s">
        <v>10</v>
      </c>
      <c r="D34" t="s">
        <v>39</v>
      </c>
      <c r="E34" t="s">
        <v>39</v>
      </c>
      <c r="F34" t="s">
        <v>81</v>
      </c>
      <c r="G34">
        <v>33</v>
      </c>
      <c r="H34" t="s">
        <v>82</v>
      </c>
      <c r="I34">
        <v>3.3198311328887939</v>
      </c>
      <c r="J34">
        <v>2.1513991355895996</v>
      </c>
      <c r="K34">
        <v>3</v>
      </c>
      <c r="L34">
        <v>54000000</v>
      </c>
      <c r="M34">
        <v>18000000</v>
      </c>
      <c r="O34" t="s">
        <v>81</v>
      </c>
      <c r="P34">
        <v>3</v>
      </c>
      <c r="Q34">
        <v>51000000</v>
      </c>
      <c r="R34">
        <v>17000000</v>
      </c>
      <c r="S34">
        <f t="shared" si="8"/>
        <v>0</v>
      </c>
      <c r="T34">
        <f t="shared" si="9"/>
        <v>1</v>
      </c>
      <c r="U34">
        <f t="shared" si="1"/>
        <v>0</v>
      </c>
      <c r="V34"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A34">
        <f t="shared" si="10"/>
        <v>0</v>
      </c>
      <c r="AB34">
        <f t="shared" si="11"/>
        <v>0</v>
      </c>
      <c r="AC34">
        <f t="shared" si="12"/>
        <v>0</v>
      </c>
      <c r="AD34">
        <f t="shared" si="6"/>
        <v>0</v>
      </c>
      <c r="AE34">
        <f t="shared" si="7"/>
        <v>0</v>
      </c>
      <c r="AF34">
        <f t="shared" si="0"/>
        <v>18000000</v>
      </c>
    </row>
    <row r="35" spans="1:32" x14ac:dyDescent="0.35">
      <c r="A35" s="1">
        <v>0</v>
      </c>
      <c r="B35" t="s">
        <v>337</v>
      </c>
      <c r="C35" t="s">
        <v>10</v>
      </c>
      <c r="D35" t="s">
        <v>39</v>
      </c>
      <c r="E35" t="s">
        <v>39</v>
      </c>
      <c r="F35" t="s">
        <v>97</v>
      </c>
      <c r="G35">
        <v>40</v>
      </c>
      <c r="H35" t="s">
        <v>338</v>
      </c>
      <c r="I35">
        <v>0.60618424415588379</v>
      </c>
      <c r="J35">
        <v>1.9847042560577393</v>
      </c>
      <c r="K35">
        <v>1</v>
      </c>
      <c r="L35">
        <v>18000000</v>
      </c>
      <c r="M35">
        <v>18000000</v>
      </c>
      <c r="O35" t="s">
        <v>86</v>
      </c>
      <c r="P35">
        <v>1</v>
      </c>
      <c r="Q35">
        <v>15500000</v>
      </c>
      <c r="R35">
        <v>15500000</v>
      </c>
      <c r="S35">
        <f t="shared" si="8"/>
        <v>0</v>
      </c>
      <c r="T35">
        <f t="shared" si="9"/>
        <v>1</v>
      </c>
      <c r="U35">
        <f t="shared" si="1"/>
        <v>0</v>
      </c>
      <c r="V35">
        <v>0</v>
      </c>
      <c r="W35">
        <f t="shared" si="2"/>
        <v>0</v>
      </c>
      <c r="X35">
        <f t="shared" si="3"/>
        <v>0</v>
      </c>
      <c r="Y35">
        <f t="shared" si="4"/>
        <v>0</v>
      </c>
      <c r="Z35">
        <f t="shared" si="5"/>
        <v>0</v>
      </c>
      <c r="AA35">
        <f t="shared" si="10"/>
        <v>0</v>
      </c>
      <c r="AB35">
        <f t="shared" si="11"/>
        <v>0</v>
      </c>
      <c r="AC35">
        <f t="shared" si="12"/>
        <v>0</v>
      </c>
      <c r="AD35">
        <f t="shared" si="6"/>
        <v>0</v>
      </c>
      <c r="AE35">
        <f t="shared" si="7"/>
        <v>0</v>
      </c>
      <c r="AF35">
        <f t="shared" si="0"/>
        <v>18000000</v>
      </c>
    </row>
    <row r="36" spans="1:32" x14ac:dyDescent="0.35">
      <c r="A36" s="1">
        <v>0</v>
      </c>
      <c r="B36" t="s">
        <v>105</v>
      </c>
      <c r="C36" t="s">
        <v>10</v>
      </c>
      <c r="D36" t="s">
        <v>39</v>
      </c>
      <c r="E36" t="s">
        <v>33</v>
      </c>
      <c r="F36" t="s">
        <v>36</v>
      </c>
      <c r="G36">
        <v>33</v>
      </c>
      <c r="H36" t="s">
        <v>106</v>
      </c>
      <c r="I36">
        <v>2.7818140983581543</v>
      </c>
      <c r="J36">
        <v>1.8057085275650024</v>
      </c>
      <c r="K36">
        <v>3</v>
      </c>
      <c r="L36">
        <v>60000000</v>
      </c>
      <c r="M36">
        <v>20000000</v>
      </c>
      <c r="N36">
        <v>21050000</v>
      </c>
      <c r="O36" t="s">
        <v>36</v>
      </c>
      <c r="P36">
        <v>3</v>
      </c>
      <c r="Q36">
        <v>75000000</v>
      </c>
      <c r="R36">
        <v>22009731</v>
      </c>
      <c r="S36">
        <f t="shared" si="8"/>
        <v>1</v>
      </c>
      <c r="T36">
        <f t="shared" si="9"/>
        <v>1</v>
      </c>
      <c r="U36">
        <f t="shared" si="1"/>
        <v>0</v>
      </c>
      <c r="V36">
        <v>0</v>
      </c>
      <c r="W36">
        <f t="shared" si="2"/>
        <v>0</v>
      </c>
      <c r="X36">
        <f t="shared" si="3"/>
        <v>0</v>
      </c>
      <c r="Y36">
        <f t="shared" si="4"/>
        <v>0</v>
      </c>
      <c r="Z36">
        <f t="shared" si="5"/>
        <v>0</v>
      </c>
      <c r="AA36">
        <f t="shared" si="10"/>
        <v>0</v>
      </c>
      <c r="AB36">
        <f t="shared" si="11"/>
        <v>0</v>
      </c>
      <c r="AC36">
        <f t="shared" si="12"/>
        <v>0</v>
      </c>
      <c r="AD36">
        <f t="shared" si="6"/>
        <v>0</v>
      </c>
      <c r="AE36">
        <f t="shared" si="7"/>
        <v>0</v>
      </c>
      <c r="AF36">
        <f t="shared" si="0"/>
        <v>20000000</v>
      </c>
    </row>
    <row r="37" spans="1:32" x14ac:dyDescent="0.35">
      <c r="A37" s="1">
        <v>0</v>
      </c>
      <c r="B37" t="s">
        <v>69</v>
      </c>
      <c r="C37" t="s">
        <v>10</v>
      </c>
      <c r="D37" t="s">
        <v>33</v>
      </c>
      <c r="E37" t="s">
        <v>39</v>
      </c>
      <c r="F37" t="s">
        <v>70</v>
      </c>
      <c r="G37">
        <v>34</v>
      </c>
      <c r="H37" t="s">
        <v>71</v>
      </c>
      <c r="I37">
        <v>3.3970968723297119</v>
      </c>
      <c r="J37">
        <v>1.7099204063415527</v>
      </c>
      <c r="K37">
        <v>2</v>
      </c>
      <c r="L37">
        <v>32000000</v>
      </c>
      <c r="M37">
        <v>16000000</v>
      </c>
      <c r="N37">
        <v>21050000</v>
      </c>
      <c r="O37" t="s">
        <v>70</v>
      </c>
      <c r="P37">
        <v>1</v>
      </c>
      <c r="Q37">
        <v>21050000</v>
      </c>
      <c r="R37">
        <v>21050000</v>
      </c>
      <c r="S37">
        <f t="shared" si="8"/>
        <v>1</v>
      </c>
      <c r="T37">
        <f t="shared" si="9"/>
        <v>1</v>
      </c>
      <c r="U37">
        <f t="shared" si="1"/>
        <v>0</v>
      </c>
      <c r="V37">
        <v>0</v>
      </c>
      <c r="W37">
        <f t="shared" si="2"/>
        <v>0</v>
      </c>
      <c r="X37">
        <f t="shared" si="3"/>
        <v>0</v>
      </c>
      <c r="Y37">
        <f t="shared" si="4"/>
        <v>0</v>
      </c>
      <c r="Z37">
        <f t="shared" si="5"/>
        <v>0</v>
      </c>
      <c r="AA37">
        <f t="shared" si="10"/>
        <v>0</v>
      </c>
      <c r="AB37">
        <f t="shared" si="11"/>
        <v>0</v>
      </c>
      <c r="AC37">
        <f t="shared" si="12"/>
        <v>0</v>
      </c>
      <c r="AD37">
        <f t="shared" si="6"/>
        <v>0</v>
      </c>
      <c r="AE37">
        <f t="shared" si="7"/>
        <v>0</v>
      </c>
      <c r="AF37">
        <f t="shared" si="0"/>
        <v>16000000</v>
      </c>
    </row>
    <row r="38" spans="1:32" x14ac:dyDescent="0.35">
      <c r="A38" s="1">
        <v>0</v>
      </c>
      <c r="B38" t="s">
        <v>269</v>
      </c>
      <c r="C38" t="s">
        <v>10</v>
      </c>
      <c r="D38" t="s">
        <v>33</v>
      </c>
      <c r="E38" t="s">
        <v>33</v>
      </c>
      <c r="F38" t="s">
        <v>102</v>
      </c>
      <c r="G38">
        <v>34</v>
      </c>
      <c r="H38" t="s">
        <v>270</v>
      </c>
      <c r="I38">
        <v>0.89194542169570923</v>
      </c>
      <c r="J38">
        <v>1.7064907550811768</v>
      </c>
      <c r="K38">
        <v>2</v>
      </c>
      <c r="L38">
        <v>18000000</v>
      </c>
      <c r="M38">
        <v>9000000</v>
      </c>
      <c r="O38" t="s">
        <v>104</v>
      </c>
      <c r="P38">
        <v>2</v>
      </c>
      <c r="Q38">
        <v>29000000</v>
      </c>
      <c r="R38">
        <v>14500000</v>
      </c>
      <c r="S38">
        <f t="shared" si="8"/>
        <v>0</v>
      </c>
      <c r="T38">
        <f t="shared" si="9"/>
        <v>1</v>
      </c>
      <c r="U38">
        <f t="shared" si="1"/>
        <v>0</v>
      </c>
      <c r="V38">
        <v>0</v>
      </c>
      <c r="W38">
        <f t="shared" si="2"/>
        <v>0</v>
      </c>
      <c r="X38">
        <f t="shared" si="3"/>
        <v>0</v>
      </c>
      <c r="Y38">
        <f t="shared" si="4"/>
        <v>0</v>
      </c>
      <c r="Z38">
        <f t="shared" si="5"/>
        <v>0</v>
      </c>
      <c r="AA38">
        <f t="shared" si="10"/>
        <v>0</v>
      </c>
      <c r="AB38">
        <f t="shared" si="11"/>
        <v>0</v>
      </c>
      <c r="AC38">
        <f t="shared" si="12"/>
        <v>0</v>
      </c>
      <c r="AD38">
        <f t="shared" si="6"/>
        <v>0</v>
      </c>
      <c r="AE38">
        <f t="shared" si="7"/>
        <v>0</v>
      </c>
      <c r="AF38">
        <f t="shared" si="0"/>
        <v>9000000</v>
      </c>
    </row>
    <row r="39" spans="1:32" x14ac:dyDescent="0.35">
      <c r="A39" s="1">
        <v>0</v>
      </c>
      <c r="B39" t="s">
        <v>94</v>
      </c>
      <c r="C39" t="s">
        <v>95</v>
      </c>
      <c r="D39" t="s">
        <v>33</v>
      </c>
      <c r="E39" t="s">
        <v>33</v>
      </c>
      <c r="F39" t="s">
        <v>58</v>
      </c>
      <c r="G39">
        <v>33</v>
      </c>
      <c r="H39" t="s">
        <v>96</v>
      </c>
      <c r="I39">
        <v>2.9881842136383057</v>
      </c>
      <c r="J39">
        <v>1.6810855865478516</v>
      </c>
      <c r="K39">
        <v>2</v>
      </c>
      <c r="L39">
        <v>28000000</v>
      </c>
      <c r="M39">
        <v>14000000</v>
      </c>
      <c r="O39" t="s">
        <v>97</v>
      </c>
      <c r="P39">
        <v>2</v>
      </c>
      <c r="Q39">
        <v>37000000</v>
      </c>
      <c r="R39">
        <v>18500000</v>
      </c>
      <c r="S39">
        <f t="shared" si="8"/>
        <v>0</v>
      </c>
      <c r="T39">
        <f t="shared" si="9"/>
        <v>0</v>
      </c>
      <c r="U39">
        <f t="shared" si="1"/>
        <v>0</v>
      </c>
      <c r="V39">
        <v>0</v>
      </c>
      <c r="W39">
        <f t="shared" si="2"/>
        <v>0</v>
      </c>
      <c r="X39">
        <f t="shared" si="3"/>
        <v>0</v>
      </c>
      <c r="Y39">
        <f t="shared" si="4"/>
        <v>0</v>
      </c>
      <c r="Z39">
        <f t="shared" si="5"/>
        <v>0</v>
      </c>
      <c r="AA39">
        <f t="shared" si="10"/>
        <v>1</v>
      </c>
      <c r="AB39">
        <f t="shared" si="11"/>
        <v>0</v>
      </c>
      <c r="AC39">
        <f t="shared" si="12"/>
        <v>1</v>
      </c>
      <c r="AD39">
        <f t="shared" si="6"/>
        <v>0</v>
      </c>
      <c r="AE39">
        <f t="shared" si="7"/>
        <v>1</v>
      </c>
      <c r="AF39">
        <f t="shared" si="0"/>
        <v>14000000</v>
      </c>
    </row>
    <row r="40" spans="1:32" x14ac:dyDescent="0.35">
      <c r="A40" s="1">
        <v>0</v>
      </c>
      <c r="B40" t="s">
        <v>127</v>
      </c>
      <c r="C40" t="s">
        <v>10</v>
      </c>
      <c r="D40" t="s">
        <v>39</v>
      </c>
      <c r="E40" t="s">
        <v>39</v>
      </c>
      <c r="F40" t="s">
        <v>36</v>
      </c>
      <c r="G40">
        <v>31</v>
      </c>
      <c r="H40" t="s">
        <v>128</v>
      </c>
      <c r="I40">
        <v>2.1073484420776367</v>
      </c>
      <c r="J40">
        <v>1.5633713006973267</v>
      </c>
      <c r="K40">
        <v>3</v>
      </c>
      <c r="L40">
        <v>48000000</v>
      </c>
      <c r="M40">
        <v>16000000</v>
      </c>
      <c r="N40">
        <v>21050000</v>
      </c>
      <c r="O40" t="s">
        <v>129</v>
      </c>
      <c r="P40">
        <v>3</v>
      </c>
      <c r="Q40">
        <v>67000000</v>
      </c>
      <c r="R40">
        <v>22333333.333333328</v>
      </c>
      <c r="S40">
        <f t="shared" si="8"/>
        <v>1</v>
      </c>
      <c r="T40">
        <f t="shared" si="9"/>
        <v>1</v>
      </c>
      <c r="U40">
        <f t="shared" si="1"/>
        <v>0</v>
      </c>
      <c r="V40">
        <v>0</v>
      </c>
      <c r="W40">
        <f t="shared" si="2"/>
        <v>0</v>
      </c>
      <c r="X40">
        <f t="shared" si="3"/>
        <v>0</v>
      </c>
      <c r="Y40">
        <f t="shared" si="4"/>
        <v>0</v>
      </c>
      <c r="Z40">
        <f t="shared" si="5"/>
        <v>0</v>
      </c>
      <c r="AA40">
        <f t="shared" si="10"/>
        <v>0</v>
      </c>
      <c r="AB40">
        <f t="shared" si="11"/>
        <v>0</v>
      </c>
      <c r="AC40">
        <f t="shared" si="12"/>
        <v>0</v>
      </c>
      <c r="AD40">
        <f t="shared" si="6"/>
        <v>0</v>
      </c>
      <c r="AE40">
        <f t="shared" si="7"/>
        <v>0</v>
      </c>
      <c r="AF40">
        <f t="shared" si="0"/>
        <v>16000000</v>
      </c>
    </row>
    <row r="41" spans="1:32" x14ac:dyDescent="0.35">
      <c r="A41" s="1">
        <v>0</v>
      </c>
      <c r="B41" t="s">
        <v>115</v>
      </c>
      <c r="C41" t="s">
        <v>116</v>
      </c>
      <c r="D41" t="s">
        <v>39</v>
      </c>
      <c r="E41" t="s">
        <v>39</v>
      </c>
      <c r="F41" t="s">
        <v>53</v>
      </c>
      <c r="G41">
        <v>30</v>
      </c>
      <c r="H41" t="s">
        <v>117</v>
      </c>
      <c r="I41">
        <v>2.5528674125671387</v>
      </c>
      <c r="J41">
        <v>1.5265672206878662</v>
      </c>
      <c r="K41">
        <v>3</v>
      </c>
      <c r="L41">
        <v>51000000</v>
      </c>
      <c r="M41">
        <v>17000000</v>
      </c>
      <c r="O41" t="s">
        <v>56</v>
      </c>
      <c r="P41">
        <v>3</v>
      </c>
      <c r="Q41">
        <v>49500000</v>
      </c>
      <c r="R41">
        <v>16500000</v>
      </c>
      <c r="S41">
        <f t="shared" si="8"/>
        <v>0</v>
      </c>
      <c r="T41">
        <f t="shared" si="9"/>
        <v>0</v>
      </c>
      <c r="U41">
        <f t="shared" si="1"/>
        <v>0</v>
      </c>
      <c r="V41">
        <v>0</v>
      </c>
      <c r="W41">
        <f t="shared" si="2"/>
        <v>0</v>
      </c>
      <c r="X41">
        <f t="shared" si="3"/>
        <v>0</v>
      </c>
      <c r="Y41">
        <f t="shared" si="4"/>
        <v>0</v>
      </c>
      <c r="Z41">
        <f t="shared" si="5"/>
        <v>0</v>
      </c>
      <c r="AA41">
        <f t="shared" si="10"/>
        <v>1</v>
      </c>
      <c r="AB41">
        <f t="shared" si="11"/>
        <v>1</v>
      </c>
      <c r="AC41">
        <f t="shared" si="12"/>
        <v>1</v>
      </c>
      <c r="AD41">
        <f t="shared" si="6"/>
        <v>0</v>
      </c>
      <c r="AE41">
        <f t="shared" si="7"/>
        <v>0</v>
      </c>
      <c r="AF41">
        <f t="shared" si="0"/>
        <v>17000000</v>
      </c>
    </row>
    <row r="42" spans="1:32" x14ac:dyDescent="0.35">
      <c r="A42" s="1">
        <v>0</v>
      </c>
      <c r="B42" t="s">
        <v>453</v>
      </c>
      <c r="C42" t="s">
        <v>10</v>
      </c>
      <c r="D42" t="s">
        <v>39</v>
      </c>
      <c r="E42" t="s">
        <v>39</v>
      </c>
      <c r="F42" t="s">
        <v>102</v>
      </c>
      <c r="G42">
        <v>37</v>
      </c>
      <c r="H42" t="s">
        <v>454</v>
      </c>
      <c r="I42">
        <v>0.27441394329071045</v>
      </c>
      <c r="J42">
        <v>1.5192273855209351</v>
      </c>
      <c r="K42">
        <v>1</v>
      </c>
      <c r="L42">
        <v>10000000</v>
      </c>
      <c r="M42">
        <v>10000000</v>
      </c>
      <c r="O42" t="s">
        <v>78</v>
      </c>
      <c r="P42">
        <v>1</v>
      </c>
      <c r="Q42">
        <v>15000000</v>
      </c>
      <c r="R42">
        <v>15000000</v>
      </c>
      <c r="S42">
        <f t="shared" si="8"/>
        <v>0</v>
      </c>
      <c r="T42">
        <f t="shared" si="9"/>
        <v>1</v>
      </c>
      <c r="U42">
        <f t="shared" si="1"/>
        <v>0</v>
      </c>
      <c r="V42">
        <v>0</v>
      </c>
      <c r="W42">
        <f t="shared" si="2"/>
        <v>0</v>
      </c>
      <c r="X42">
        <f t="shared" si="3"/>
        <v>0</v>
      </c>
      <c r="Y42">
        <f t="shared" si="4"/>
        <v>0</v>
      </c>
      <c r="Z42">
        <f t="shared" si="5"/>
        <v>0</v>
      </c>
      <c r="AA42">
        <f t="shared" si="10"/>
        <v>0</v>
      </c>
      <c r="AB42">
        <f t="shared" si="11"/>
        <v>0</v>
      </c>
      <c r="AC42">
        <f t="shared" si="12"/>
        <v>0</v>
      </c>
      <c r="AD42">
        <f t="shared" si="6"/>
        <v>0</v>
      </c>
      <c r="AE42">
        <f t="shared" si="7"/>
        <v>0</v>
      </c>
      <c r="AF42">
        <f t="shared" si="0"/>
        <v>10000000</v>
      </c>
    </row>
    <row r="43" spans="1:32" x14ac:dyDescent="0.35">
      <c r="A43" s="1">
        <v>0</v>
      </c>
      <c r="B43" t="s">
        <v>360</v>
      </c>
      <c r="C43" t="s">
        <v>3</v>
      </c>
      <c r="D43" t="s">
        <v>39</v>
      </c>
      <c r="E43" t="s">
        <v>39</v>
      </c>
      <c r="F43" t="s">
        <v>53</v>
      </c>
      <c r="G43">
        <v>30</v>
      </c>
      <c r="H43" t="s">
        <v>361</v>
      </c>
      <c r="I43">
        <v>0.53368353843688965</v>
      </c>
      <c r="J43">
        <v>1.5189570188522339</v>
      </c>
      <c r="K43">
        <v>2</v>
      </c>
      <c r="L43">
        <v>16000000</v>
      </c>
      <c r="M43">
        <v>8000000</v>
      </c>
      <c r="O43" t="s">
        <v>110</v>
      </c>
      <c r="P43">
        <v>1</v>
      </c>
      <c r="Q43">
        <v>8500000</v>
      </c>
      <c r="R43">
        <v>8500000</v>
      </c>
      <c r="S43">
        <f t="shared" si="8"/>
        <v>0</v>
      </c>
      <c r="T43">
        <f t="shared" si="9"/>
        <v>0</v>
      </c>
      <c r="U43">
        <f t="shared" si="1"/>
        <v>0</v>
      </c>
      <c r="V43">
        <v>1</v>
      </c>
      <c r="W43">
        <f t="shared" si="2"/>
        <v>0</v>
      </c>
      <c r="X43">
        <f t="shared" si="3"/>
        <v>0</v>
      </c>
      <c r="Y43">
        <f t="shared" si="4"/>
        <v>0</v>
      </c>
      <c r="Z43">
        <f t="shared" si="5"/>
        <v>0</v>
      </c>
      <c r="AA43">
        <f t="shared" si="10"/>
        <v>0</v>
      </c>
      <c r="AB43">
        <f t="shared" si="11"/>
        <v>0</v>
      </c>
      <c r="AC43">
        <f t="shared" si="12"/>
        <v>0</v>
      </c>
      <c r="AD43">
        <f t="shared" si="6"/>
        <v>0</v>
      </c>
      <c r="AE43">
        <f t="shared" si="7"/>
        <v>0</v>
      </c>
      <c r="AF43">
        <f t="shared" si="0"/>
        <v>8000000</v>
      </c>
    </row>
    <row r="44" spans="1:32" x14ac:dyDescent="0.35">
      <c r="A44" s="1">
        <v>0</v>
      </c>
      <c r="B44" t="s">
        <v>296</v>
      </c>
      <c r="C44" t="s">
        <v>10</v>
      </c>
      <c r="D44" t="s">
        <v>39</v>
      </c>
      <c r="E44" t="s">
        <v>39</v>
      </c>
      <c r="F44" t="s">
        <v>102</v>
      </c>
      <c r="G44">
        <v>30</v>
      </c>
      <c r="H44" t="s">
        <v>297</v>
      </c>
      <c r="I44">
        <v>0.76937061548233032</v>
      </c>
      <c r="J44">
        <v>1.4984276294708252</v>
      </c>
      <c r="K44">
        <v>2</v>
      </c>
      <c r="L44">
        <v>40000000</v>
      </c>
      <c r="M44">
        <v>20000000</v>
      </c>
      <c r="O44" t="s">
        <v>102</v>
      </c>
      <c r="P44">
        <v>2</v>
      </c>
      <c r="Q44">
        <v>26000000</v>
      </c>
      <c r="R44">
        <v>14555102</v>
      </c>
      <c r="S44">
        <f t="shared" si="8"/>
        <v>0</v>
      </c>
      <c r="T44">
        <f t="shared" si="9"/>
        <v>1</v>
      </c>
      <c r="U44">
        <f t="shared" si="1"/>
        <v>0</v>
      </c>
      <c r="V44">
        <v>0</v>
      </c>
      <c r="W44">
        <f t="shared" si="2"/>
        <v>0</v>
      </c>
      <c r="X44">
        <f t="shared" si="3"/>
        <v>0</v>
      </c>
      <c r="Y44">
        <f t="shared" si="4"/>
        <v>0</v>
      </c>
      <c r="Z44">
        <f t="shared" si="5"/>
        <v>0</v>
      </c>
      <c r="AA44">
        <f t="shared" si="10"/>
        <v>0</v>
      </c>
      <c r="AB44">
        <f t="shared" si="11"/>
        <v>0</v>
      </c>
      <c r="AC44">
        <f t="shared" si="12"/>
        <v>0</v>
      </c>
      <c r="AD44">
        <f t="shared" si="6"/>
        <v>0</v>
      </c>
      <c r="AE44">
        <f t="shared" si="7"/>
        <v>0</v>
      </c>
      <c r="AF44">
        <f t="shared" si="0"/>
        <v>20000000</v>
      </c>
    </row>
    <row r="45" spans="1:32" x14ac:dyDescent="0.35">
      <c r="A45" s="1">
        <v>1</v>
      </c>
      <c r="B45" t="s">
        <v>165</v>
      </c>
      <c r="C45" t="s">
        <v>3</v>
      </c>
      <c r="D45" t="s">
        <v>39</v>
      </c>
      <c r="E45" t="s">
        <v>39</v>
      </c>
      <c r="F45" t="s">
        <v>97</v>
      </c>
      <c r="G45">
        <v>30</v>
      </c>
      <c r="H45" t="s">
        <v>166</v>
      </c>
      <c r="I45">
        <v>1.769400954246521</v>
      </c>
      <c r="J45">
        <v>1.4981144666671753</v>
      </c>
      <c r="L45">
        <v>0</v>
      </c>
      <c r="O45" t="s">
        <v>104</v>
      </c>
      <c r="P45">
        <v>2</v>
      </c>
      <c r="Q45">
        <v>11500000</v>
      </c>
      <c r="R45">
        <v>5750000</v>
      </c>
      <c r="S45">
        <f t="shared" si="8"/>
        <v>0</v>
      </c>
      <c r="T45">
        <f t="shared" si="9"/>
        <v>0</v>
      </c>
      <c r="U45">
        <f t="shared" si="1"/>
        <v>0</v>
      </c>
      <c r="V45">
        <v>1</v>
      </c>
      <c r="W45">
        <f t="shared" si="2"/>
        <v>0</v>
      </c>
      <c r="X45">
        <f t="shared" si="3"/>
        <v>0</v>
      </c>
      <c r="Y45">
        <f t="shared" si="4"/>
        <v>0</v>
      </c>
      <c r="Z45">
        <f t="shared" si="5"/>
        <v>0</v>
      </c>
      <c r="AA45">
        <f t="shared" si="10"/>
        <v>0</v>
      </c>
      <c r="AB45">
        <f t="shared" si="11"/>
        <v>0</v>
      </c>
      <c r="AC45">
        <f t="shared" si="12"/>
        <v>0</v>
      </c>
      <c r="AD45">
        <f t="shared" si="6"/>
        <v>0</v>
      </c>
      <c r="AE45">
        <f t="shared" si="7"/>
        <v>0</v>
      </c>
      <c r="AF45">
        <f t="shared" si="0"/>
        <v>5750000</v>
      </c>
    </row>
    <row r="46" spans="1:32" x14ac:dyDescent="0.35">
      <c r="A46" s="1">
        <v>0</v>
      </c>
      <c r="B46" t="s">
        <v>123</v>
      </c>
      <c r="C46" t="s">
        <v>10</v>
      </c>
      <c r="D46" t="s">
        <v>33</v>
      </c>
      <c r="E46" t="s">
        <v>33</v>
      </c>
      <c r="F46" t="s">
        <v>97</v>
      </c>
      <c r="G46">
        <v>34</v>
      </c>
      <c r="H46" t="s">
        <v>124</v>
      </c>
      <c r="I46">
        <v>2.1737463474273682</v>
      </c>
      <c r="J46">
        <v>1.4836716651916504</v>
      </c>
      <c r="K46">
        <v>2</v>
      </c>
      <c r="L46">
        <v>25000000</v>
      </c>
      <c r="M46">
        <v>12500000</v>
      </c>
      <c r="O46" t="s">
        <v>125</v>
      </c>
      <c r="P46">
        <v>1</v>
      </c>
      <c r="Q46">
        <v>5250000</v>
      </c>
      <c r="R46">
        <v>5250000</v>
      </c>
      <c r="S46">
        <f t="shared" si="8"/>
        <v>0</v>
      </c>
      <c r="T46">
        <f t="shared" si="9"/>
        <v>1</v>
      </c>
      <c r="U46">
        <f t="shared" si="1"/>
        <v>0</v>
      </c>
      <c r="V46">
        <v>0</v>
      </c>
      <c r="W46">
        <f t="shared" si="2"/>
        <v>0</v>
      </c>
      <c r="X46">
        <f t="shared" si="3"/>
        <v>0</v>
      </c>
      <c r="Y46">
        <f t="shared" si="4"/>
        <v>0</v>
      </c>
      <c r="Z46">
        <f t="shared" si="5"/>
        <v>0</v>
      </c>
      <c r="AA46">
        <f t="shared" si="10"/>
        <v>0</v>
      </c>
      <c r="AB46">
        <f t="shared" si="11"/>
        <v>0</v>
      </c>
      <c r="AC46">
        <f t="shared" si="12"/>
        <v>0</v>
      </c>
      <c r="AD46">
        <f t="shared" si="6"/>
        <v>0</v>
      </c>
      <c r="AE46">
        <f t="shared" si="7"/>
        <v>0</v>
      </c>
      <c r="AF46">
        <f t="shared" si="0"/>
        <v>12500000</v>
      </c>
    </row>
    <row r="47" spans="1:32" x14ac:dyDescent="0.35">
      <c r="A47" s="1">
        <v>0</v>
      </c>
      <c r="B47" t="s">
        <v>312</v>
      </c>
      <c r="C47" t="s">
        <v>10</v>
      </c>
      <c r="D47" t="s">
        <v>39</v>
      </c>
      <c r="E47" t="s">
        <v>39</v>
      </c>
      <c r="F47" t="s">
        <v>51</v>
      </c>
      <c r="G47">
        <v>42</v>
      </c>
      <c r="H47" t="s">
        <v>313</v>
      </c>
      <c r="I47">
        <v>0.67786359786987305</v>
      </c>
      <c r="J47">
        <v>1.3841989040374756</v>
      </c>
      <c r="K47">
        <v>1</v>
      </c>
      <c r="L47">
        <v>15000000</v>
      </c>
      <c r="M47">
        <v>15000000</v>
      </c>
      <c r="O47" t="s">
        <v>42</v>
      </c>
      <c r="P47">
        <v>1</v>
      </c>
      <c r="Q47">
        <v>15000000</v>
      </c>
      <c r="R47">
        <v>15000000</v>
      </c>
      <c r="S47">
        <f t="shared" si="8"/>
        <v>0</v>
      </c>
      <c r="T47">
        <f t="shared" si="9"/>
        <v>1</v>
      </c>
      <c r="U47">
        <f t="shared" si="1"/>
        <v>0</v>
      </c>
      <c r="V47">
        <v>0</v>
      </c>
      <c r="W47">
        <f t="shared" si="2"/>
        <v>0</v>
      </c>
      <c r="X47">
        <f t="shared" si="3"/>
        <v>0</v>
      </c>
      <c r="Y47">
        <f t="shared" si="4"/>
        <v>0</v>
      </c>
      <c r="Z47">
        <f t="shared" si="5"/>
        <v>0</v>
      </c>
      <c r="AA47">
        <f t="shared" si="10"/>
        <v>0</v>
      </c>
      <c r="AB47">
        <f t="shared" si="11"/>
        <v>0</v>
      </c>
      <c r="AC47">
        <f t="shared" si="12"/>
        <v>0</v>
      </c>
      <c r="AD47">
        <f t="shared" si="6"/>
        <v>0</v>
      </c>
      <c r="AE47">
        <f t="shared" si="7"/>
        <v>0</v>
      </c>
      <c r="AF47">
        <f t="shared" si="0"/>
        <v>15000000</v>
      </c>
    </row>
    <row r="48" spans="1:32" x14ac:dyDescent="0.35">
      <c r="A48" s="1">
        <v>0</v>
      </c>
      <c r="B48" t="s">
        <v>624</v>
      </c>
      <c r="C48" t="s">
        <v>10</v>
      </c>
      <c r="D48" t="s">
        <v>39</v>
      </c>
      <c r="E48" t="s">
        <v>39</v>
      </c>
      <c r="F48" t="s">
        <v>66</v>
      </c>
      <c r="G48">
        <v>30</v>
      </c>
      <c r="H48" t="s">
        <v>625</v>
      </c>
      <c r="I48">
        <v>-9.5986157655715942E-2</v>
      </c>
      <c r="J48">
        <v>1.3838760852813721</v>
      </c>
      <c r="K48">
        <v>1</v>
      </c>
      <c r="L48">
        <v>15000000</v>
      </c>
      <c r="M48">
        <v>15000000</v>
      </c>
      <c r="O48" t="s">
        <v>53</v>
      </c>
      <c r="P48">
        <v>1</v>
      </c>
      <c r="Q48">
        <v>21050000</v>
      </c>
      <c r="R48">
        <v>21050000</v>
      </c>
      <c r="S48">
        <f t="shared" si="8"/>
        <v>0</v>
      </c>
      <c r="T48">
        <f t="shared" si="9"/>
        <v>1</v>
      </c>
      <c r="U48">
        <f t="shared" si="1"/>
        <v>0</v>
      </c>
      <c r="V48">
        <v>0</v>
      </c>
      <c r="W48">
        <f t="shared" si="2"/>
        <v>0</v>
      </c>
      <c r="X48">
        <f t="shared" si="3"/>
        <v>0</v>
      </c>
      <c r="Y48">
        <f t="shared" si="4"/>
        <v>0</v>
      </c>
      <c r="Z48">
        <f t="shared" si="5"/>
        <v>0</v>
      </c>
      <c r="AA48">
        <f t="shared" si="10"/>
        <v>0</v>
      </c>
      <c r="AB48">
        <f t="shared" si="11"/>
        <v>0</v>
      </c>
      <c r="AC48">
        <f t="shared" si="12"/>
        <v>0</v>
      </c>
      <c r="AD48">
        <f t="shared" si="6"/>
        <v>0</v>
      </c>
      <c r="AE48">
        <f t="shared" si="7"/>
        <v>0</v>
      </c>
      <c r="AF48">
        <f t="shared" si="0"/>
        <v>15000000</v>
      </c>
    </row>
    <row r="49" spans="1:32" x14ac:dyDescent="0.35">
      <c r="A49" s="1">
        <v>0</v>
      </c>
      <c r="B49" t="s">
        <v>624</v>
      </c>
      <c r="C49" t="s">
        <v>10</v>
      </c>
      <c r="D49" t="s">
        <v>39</v>
      </c>
      <c r="E49" t="s">
        <v>39</v>
      </c>
      <c r="F49" t="s">
        <v>66</v>
      </c>
      <c r="G49">
        <v>30</v>
      </c>
      <c r="H49" t="s">
        <v>625</v>
      </c>
      <c r="I49">
        <v>-9.5986157655715942E-2</v>
      </c>
      <c r="J49">
        <v>1.3838760852813721</v>
      </c>
      <c r="K49">
        <v>1</v>
      </c>
      <c r="L49">
        <v>15000000</v>
      </c>
      <c r="M49">
        <v>15000000</v>
      </c>
      <c r="O49" t="s">
        <v>134</v>
      </c>
      <c r="P49">
        <v>1</v>
      </c>
      <c r="Q49">
        <v>69462</v>
      </c>
      <c r="R49">
        <v>69462</v>
      </c>
      <c r="S49">
        <f t="shared" si="8"/>
        <v>0</v>
      </c>
      <c r="T49">
        <f t="shared" si="9"/>
        <v>1</v>
      </c>
      <c r="U49">
        <f t="shared" si="1"/>
        <v>0</v>
      </c>
      <c r="V49">
        <v>0</v>
      </c>
      <c r="W49">
        <f t="shared" si="2"/>
        <v>0</v>
      </c>
      <c r="X49">
        <f t="shared" si="3"/>
        <v>0</v>
      </c>
      <c r="Y49">
        <f t="shared" si="4"/>
        <v>0</v>
      </c>
      <c r="Z49">
        <f t="shared" si="5"/>
        <v>0</v>
      </c>
      <c r="AA49">
        <f t="shared" si="10"/>
        <v>0</v>
      </c>
      <c r="AB49">
        <f t="shared" si="11"/>
        <v>0</v>
      </c>
      <c r="AC49">
        <f t="shared" si="12"/>
        <v>0</v>
      </c>
      <c r="AD49">
        <f t="shared" si="6"/>
        <v>0</v>
      </c>
      <c r="AE49">
        <f t="shared" si="7"/>
        <v>0</v>
      </c>
      <c r="AF49">
        <f t="shared" si="0"/>
        <v>15000000</v>
      </c>
    </row>
    <row r="50" spans="1:32" x14ac:dyDescent="0.35">
      <c r="A50" s="1">
        <v>0</v>
      </c>
      <c r="B50" t="s">
        <v>228</v>
      </c>
      <c r="C50" t="s">
        <v>10</v>
      </c>
      <c r="D50" t="s">
        <v>39</v>
      </c>
      <c r="E50" t="s">
        <v>39</v>
      </c>
      <c r="F50" t="s">
        <v>48</v>
      </c>
      <c r="G50">
        <v>41</v>
      </c>
      <c r="H50" t="s">
        <v>229</v>
      </c>
      <c r="I50">
        <v>1.1207062005996704</v>
      </c>
      <c r="J50">
        <v>1.3801397085189819</v>
      </c>
      <c r="K50">
        <v>1</v>
      </c>
      <c r="L50">
        <v>14000000</v>
      </c>
      <c r="M50">
        <v>14000000</v>
      </c>
      <c r="O50" t="s">
        <v>56</v>
      </c>
      <c r="P50">
        <v>1</v>
      </c>
      <c r="Q50">
        <v>15000000</v>
      </c>
      <c r="R50">
        <v>15000000</v>
      </c>
      <c r="S50">
        <f t="shared" si="8"/>
        <v>0</v>
      </c>
      <c r="T50">
        <f t="shared" si="9"/>
        <v>1</v>
      </c>
      <c r="U50">
        <f t="shared" si="1"/>
        <v>0</v>
      </c>
      <c r="V50">
        <v>0</v>
      </c>
      <c r="W50">
        <f t="shared" si="2"/>
        <v>0</v>
      </c>
      <c r="X50">
        <f t="shared" si="3"/>
        <v>0</v>
      </c>
      <c r="Y50">
        <f t="shared" si="4"/>
        <v>0</v>
      </c>
      <c r="Z50">
        <f t="shared" si="5"/>
        <v>0</v>
      </c>
      <c r="AA50">
        <f t="shared" si="10"/>
        <v>0</v>
      </c>
      <c r="AB50">
        <f t="shared" si="11"/>
        <v>0</v>
      </c>
      <c r="AC50">
        <f t="shared" si="12"/>
        <v>0</v>
      </c>
      <c r="AD50">
        <f t="shared" si="6"/>
        <v>0</v>
      </c>
      <c r="AE50">
        <f t="shared" si="7"/>
        <v>0</v>
      </c>
      <c r="AF50">
        <f t="shared" si="0"/>
        <v>14000000</v>
      </c>
    </row>
    <row r="51" spans="1:32" x14ac:dyDescent="0.35">
      <c r="A51" s="1">
        <v>0</v>
      </c>
      <c r="B51" t="s">
        <v>176</v>
      </c>
      <c r="C51" t="s">
        <v>3</v>
      </c>
      <c r="D51" t="s">
        <v>39</v>
      </c>
      <c r="E51" t="s">
        <v>39</v>
      </c>
      <c r="F51" t="s">
        <v>46</v>
      </c>
      <c r="G51">
        <v>35</v>
      </c>
      <c r="H51" t="s">
        <v>177</v>
      </c>
      <c r="I51">
        <v>1.5625476837158203</v>
      </c>
      <c r="J51">
        <v>1.2703454494476318</v>
      </c>
      <c r="L51">
        <v>0</v>
      </c>
      <c r="O51" t="s">
        <v>97</v>
      </c>
      <c r="P51">
        <v>2</v>
      </c>
      <c r="Q51">
        <v>13500000</v>
      </c>
      <c r="R51">
        <v>6750000</v>
      </c>
      <c r="S51">
        <f t="shared" si="8"/>
        <v>0</v>
      </c>
      <c r="T51">
        <f t="shared" si="9"/>
        <v>0</v>
      </c>
      <c r="U51">
        <f t="shared" si="1"/>
        <v>0</v>
      </c>
      <c r="V51">
        <v>1</v>
      </c>
      <c r="W51">
        <f t="shared" si="2"/>
        <v>0</v>
      </c>
      <c r="X51">
        <f t="shared" si="3"/>
        <v>0</v>
      </c>
      <c r="Y51">
        <f t="shared" si="4"/>
        <v>0</v>
      </c>
      <c r="Z51">
        <f t="shared" si="5"/>
        <v>0</v>
      </c>
      <c r="AA51">
        <f t="shared" si="10"/>
        <v>0</v>
      </c>
      <c r="AB51">
        <f t="shared" si="11"/>
        <v>0</v>
      </c>
      <c r="AC51">
        <f t="shared" si="12"/>
        <v>0</v>
      </c>
      <c r="AD51">
        <f t="shared" si="6"/>
        <v>0</v>
      </c>
      <c r="AE51">
        <f t="shared" si="7"/>
        <v>0</v>
      </c>
      <c r="AF51">
        <f t="shared" si="0"/>
        <v>6750000</v>
      </c>
    </row>
    <row r="52" spans="1:32" x14ac:dyDescent="0.35">
      <c r="A52" s="1">
        <v>0</v>
      </c>
      <c r="B52" t="s">
        <v>206</v>
      </c>
      <c r="C52" t="s">
        <v>10</v>
      </c>
      <c r="D52" t="s">
        <v>39</v>
      </c>
      <c r="E52" t="s">
        <v>39</v>
      </c>
      <c r="F52" t="s">
        <v>40</v>
      </c>
      <c r="G52">
        <v>32</v>
      </c>
      <c r="H52" t="s">
        <v>207</v>
      </c>
      <c r="I52">
        <v>1.287661075592041</v>
      </c>
      <c r="J52">
        <v>1.1883374452590942</v>
      </c>
      <c r="K52">
        <v>2</v>
      </c>
      <c r="L52">
        <v>26000000</v>
      </c>
      <c r="M52">
        <v>13000000</v>
      </c>
      <c r="O52" t="s">
        <v>36</v>
      </c>
      <c r="P52">
        <v>2</v>
      </c>
      <c r="Q52">
        <v>34000000</v>
      </c>
      <c r="R52">
        <v>17000000</v>
      </c>
      <c r="S52">
        <f t="shared" si="8"/>
        <v>0</v>
      </c>
      <c r="T52">
        <f t="shared" si="9"/>
        <v>1</v>
      </c>
      <c r="U52">
        <f t="shared" si="1"/>
        <v>0</v>
      </c>
      <c r="V52">
        <v>0</v>
      </c>
      <c r="W52">
        <f t="shared" si="2"/>
        <v>0</v>
      </c>
      <c r="X52">
        <f t="shared" si="3"/>
        <v>0</v>
      </c>
      <c r="Y52">
        <f t="shared" si="4"/>
        <v>0</v>
      </c>
      <c r="Z52">
        <f t="shared" si="5"/>
        <v>0</v>
      </c>
      <c r="AA52">
        <f t="shared" si="10"/>
        <v>0</v>
      </c>
      <c r="AB52">
        <f t="shared" si="11"/>
        <v>0</v>
      </c>
      <c r="AC52">
        <f t="shared" si="12"/>
        <v>0</v>
      </c>
      <c r="AD52">
        <f t="shared" si="6"/>
        <v>0</v>
      </c>
      <c r="AE52">
        <f t="shared" si="7"/>
        <v>0</v>
      </c>
      <c r="AF52">
        <f t="shared" si="0"/>
        <v>13000000</v>
      </c>
    </row>
    <row r="53" spans="1:32" x14ac:dyDescent="0.35">
      <c r="A53" s="1">
        <v>0</v>
      </c>
      <c r="B53" t="s">
        <v>240</v>
      </c>
      <c r="C53" t="s">
        <v>10</v>
      </c>
      <c r="D53" t="s">
        <v>39</v>
      </c>
      <c r="E53" t="s">
        <v>33</v>
      </c>
      <c r="F53" t="s">
        <v>36</v>
      </c>
      <c r="G53">
        <v>36</v>
      </c>
      <c r="H53" t="s">
        <v>241</v>
      </c>
      <c r="I53">
        <v>1.0541503429412842</v>
      </c>
      <c r="J53">
        <v>1.1716850996017456</v>
      </c>
      <c r="K53">
        <v>2</v>
      </c>
      <c r="L53">
        <v>24000000</v>
      </c>
      <c r="M53">
        <v>12000000</v>
      </c>
      <c r="O53" t="s">
        <v>40</v>
      </c>
      <c r="P53">
        <v>1</v>
      </c>
      <c r="Q53">
        <v>4250000</v>
      </c>
      <c r="R53">
        <v>4250000</v>
      </c>
      <c r="S53">
        <f t="shared" si="8"/>
        <v>0</v>
      </c>
      <c r="T53">
        <f t="shared" si="9"/>
        <v>1</v>
      </c>
      <c r="U53">
        <f t="shared" si="1"/>
        <v>0</v>
      </c>
      <c r="V53">
        <v>0</v>
      </c>
      <c r="W53">
        <f t="shared" si="2"/>
        <v>0</v>
      </c>
      <c r="X53">
        <f t="shared" si="3"/>
        <v>0</v>
      </c>
      <c r="Y53">
        <f t="shared" si="4"/>
        <v>0</v>
      </c>
      <c r="Z53">
        <f t="shared" si="5"/>
        <v>0</v>
      </c>
      <c r="AA53">
        <f t="shared" si="10"/>
        <v>0</v>
      </c>
      <c r="AB53">
        <f t="shared" si="11"/>
        <v>0</v>
      </c>
      <c r="AC53">
        <f t="shared" si="12"/>
        <v>0</v>
      </c>
      <c r="AD53">
        <f t="shared" si="6"/>
        <v>0</v>
      </c>
      <c r="AE53">
        <f t="shared" si="7"/>
        <v>0</v>
      </c>
      <c r="AF53">
        <f t="shared" si="0"/>
        <v>12000000</v>
      </c>
    </row>
    <row r="54" spans="1:32" x14ac:dyDescent="0.35">
      <c r="A54" s="1">
        <v>0</v>
      </c>
      <c r="B54" t="s">
        <v>153</v>
      </c>
      <c r="C54" t="s">
        <v>3</v>
      </c>
      <c r="D54" t="s">
        <v>39</v>
      </c>
      <c r="E54" t="s">
        <v>39</v>
      </c>
      <c r="F54" t="s">
        <v>48</v>
      </c>
      <c r="G54">
        <v>36</v>
      </c>
      <c r="H54" t="s">
        <v>154</v>
      </c>
      <c r="I54">
        <v>1.8475935459136963</v>
      </c>
      <c r="J54">
        <v>1.1399804353713989</v>
      </c>
      <c r="K54">
        <v>1</v>
      </c>
      <c r="L54">
        <v>7000000</v>
      </c>
      <c r="M54">
        <v>7000000</v>
      </c>
      <c r="O54" t="s">
        <v>62</v>
      </c>
      <c r="P54">
        <v>2</v>
      </c>
      <c r="Q54">
        <v>12000000</v>
      </c>
      <c r="R54">
        <v>6000000</v>
      </c>
      <c r="S54">
        <f t="shared" si="8"/>
        <v>0</v>
      </c>
      <c r="T54">
        <f t="shared" si="9"/>
        <v>0</v>
      </c>
      <c r="U54">
        <f t="shared" si="1"/>
        <v>0</v>
      </c>
      <c r="V54">
        <v>1</v>
      </c>
      <c r="W54">
        <f t="shared" si="2"/>
        <v>0</v>
      </c>
      <c r="X54">
        <f t="shared" si="3"/>
        <v>0</v>
      </c>
      <c r="Y54">
        <f t="shared" si="4"/>
        <v>0</v>
      </c>
      <c r="Z54">
        <f t="shared" si="5"/>
        <v>0</v>
      </c>
      <c r="AA54">
        <f t="shared" si="10"/>
        <v>0</v>
      </c>
      <c r="AB54">
        <f t="shared" si="11"/>
        <v>0</v>
      </c>
      <c r="AC54">
        <f t="shared" si="12"/>
        <v>0</v>
      </c>
      <c r="AD54">
        <f t="shared" si="6"/>
        <v>0</v>
      </c>
      <c r="AE54">
        <f t="shared" si="7"/>
        <v>0</v>
      </c>
      <c r="AF54">
        <f t="shared" si="0"/>
        <v>7000000</v>
      </c>
    </row>
    <row r="55" spans="1:32" x14ac:dyDescent="0.35">
      <c r="A55" s="1">
        <v>0</v>
      </c>
      <c r="B55" t="s">
        <v>197</v>
      </c>
      <c r="C55" t="s">
        <v>32</v>
      </c>
      <c r="D55" t="s">
        <v>33</v>
      </c>
      <c r="E55" t="s">
        <v>39</v>
      </c>
      <c r="F55" t="s">
        <v>42</v>
      </c>
      <c r="G55">
        <v>32</v>
      </c>
      <c r="H55" t="s">
        <v>198</v>
      </c>
      <c r="I55">
        <v>1.3144761323928833</v>
      </c>
      <c r="J55">
        <v>1.1102286577224731</v>
      </c>
      <c r="K55">
        <v>1</v>
      </c>
      <c r="L55">
        <v>12000000</v>
      </c>
      <c r="M55">
        <v>12000000</v>
      </c>
      <c r="O55" t="s">
        <v>66</v>
      </c>
      <c r="P55">
        <v>1</v>
      </c>
      <c r="Q55">
        <v>17000000</v>
      </c>
      <c r="R55">
        <v>17000000</v>
      </c>
      <c r="S55">
        <f t="shared" si="8"/>
        <v>0</v>
      </c>
      <c r="T55">
        <f t="shared" si="9"/>
        <v>0</v>
      </c>
      <c r="U55">
        <f t="shared" si="1"/>
        <v>0</v>
      </c>
      <c r="V55">
        <v>0</v>
      </c>
      <c r="W55">
        <f t="shared" si="2"/>
        <v>0</v>
      </c>
      <c r="X55">
        <f t="shared" si="3"/>
        <v>0</v>
      </c>
      <c r="Y55">
        <f t="shared" si="4"/>
        <v>0</v>
      </c>
      <c r="Z55">
        <f t="shared" si="5"/>
        <v>0</v>
      </c>
      <c r="AA55">
        <f t="shared" si="10"/>
        <v>1</v>
      </c>
      <c r="AB55">
        <f t="shared" si="11"/>
        <v>0</v>
      </c>
      <c r="AC55">
        <f t="shared" si="12"/>
        <v>1</v>
      </c>
      <c r="AD55">
        <f t="shared" si="6"/>
        <v>0</v>
      </c>
      <c r="AE55">
        <f t="shared" si="7"/>
        <v>0</v>
      </c>
      <c r="AF55">
        <f t="shared" si="0"/>
        <v>12000000</v>
      </c>
    </row>
    <row r="56" spans="1:32" x14ac:dyDescent="0.35">
      <c r="A56" s="1">
        <v>0</v>
      </c>
      <c r="B56" t="s">
        <v>321</v>
      </c>
      <c r="C56" t="s">
        <v>10</v>
      </c>
      <c r="D56" t="s">
        <v>33</v>
      </c>
      <c r="E56" t="s">
        <v>33</v>
      </c>
      <c r="F56" t="s">
        <v>66</v>
      </c>
      <c r="G56">
        <v>37</v>
      </c>
      <c r="H56" t="s">
        <v>322</v>
      </c>
      <c r="I56">
        <v>0.65915322303771973</v>
      </c>
      <c r="J56">
        <v>1.0802878141403198</v>
      </c>
      <c r="L56">
        <v>0</v>
      </c>
      <c r="O56" t="s">
        <v>66</v>
      </c>
      <c r="P56">
        <v>1</v>
      </c>
      <c r="Q56">
        <v>7500000</v>
      </c>
      <c r="R56">
        <v>7500000</v>
      </c>
      <c r="S56">
        <f t="shared" si="8"/>
        <v>0</v>
      </c>
      <c r="T56">
        <f t="shared" si="9"/>
        <v>1</v>
      </c>
      <c r="U56">
        <f t="shared" si="1"/>
        <v>0</v>
      </c>
      <c r="V56">
        <v>0</v>
      </c>
      <c r="W56">
        <f t="shared" si="2"/>
        <v>0</v>
      </c>
      <c r="X56">
        <f t="shared" si="3"/>
        <v>0</v>
      </c>
      <c r="Y56">
        <f t="shared" si="4"/>
        <v>0</v>
      </c>
      <c r="Z56">
        <f t="shared" si="5"/>
        <v>0</v>
      </c>
      <c r="AA56">
        <f t="shared" si="10"/>
        <v>0</v>
      </c>
      <c r="AB56">
        <f t="shared" si="11"/>
        <v>0</v>
      </c>
      <c r="AC56">
        <f t="shared" si="12"/>
        <v>0</v>
      </c>
      <c r="AD56">
        <f t="shared" si="6"/>
        <v>0</v>
      </c>
      <c r="AE56">
        <f t="shared" si="7"/>
        <v>0</v>
      </c>
      <c r="AF56">
        <f t="shared" si="0"/>
        <v>7500000</v>
      </c>
    </row>
    <row r="57" spans="1:32" x14ac:dyDescent="0.35">
      <c r="A57" s="1">
        <v>0</v>
      </c>
      <c r="B57" t="s">
        <v>200</v>
      </c>
      <c r="C57" t="s">
        <v>10</v>
      </c>
      <c r="D57" t="s">
        <v>45</v>
      </c>
      <c r="E57" t="s">
        <v>39</v>
      </c>
      <c r="F57" t="s">
        <v>184</v>
      </c>
      <c r="G57">
        <v>38</v>
      </c>
      <c r="H57" t="s">
        <v>201</v>
      </c>
      <c r="I57">
        <v>1.3104637861251831</v>
      </c>
      <c r="J57">
        <v>1.0387334823608398</v>
      </c>
      <c r="K57">
        <v>1</v>
      </c>
      <c r="L57">
        <v>8000000</v>
      </c>
      <c r="M57">
        <v>8000000</v>
      </c>
      <c r="S57">
        <f t="shared" si="8"/>
        <v>0</v>
      </c>
      <c r="T57">
        <f t="shared" si="9"/>
        <v>1</v>
      </c>
      <c r="U57">
        <f t="shared" si="1"/>
        <v>0</v>
      </c>
      <c r="V57">
        <v>0</v>
      </c>
      <c r="W57">
        <f t="shared" si="2"/>
        <v>0</v>
      </c>
      <c r="X57">
        <f t="shared" si="3"/>
        <v>0</v>
      </c>
      <c r="Y57">
        <f t="shared" si="4"/>
        <v>0</v>
      </c>
      <c r="Z57">
        <f t="shared" si="5"/>
        <v>0</v>
      </c>
      <c r="AA57">
        <f t="shared" si="10"/>
        <v>0</v>
      </c>
      <c r="AB57">
        <f t="shared" si="11"/>
        <v>0</v>
      </c>
      <c r="AC57">
        <f t="shared" si="12"/>
        <v>0</v>
      </c>
      <c r="AD57">
        <f t="shared" si="6"/>
        <v>0</v>
      </c>
      <c r="AE57">
        <f t="shared" si="7"/>
        <v>0</v>
      </c>
      <c r="AF57">
        <f t="shared" si="0"/>
        <v>8000000</v>
      </c>
    </row>
    <row r="58" spans="1:32" x14ac:dyDescent="0.35">
      <c r="A58" s="1">
        <v>0</v>
      </c>
      <c r="B58" t="s">
        <v>428</v>
      </c>
      <c r="C58" t="s">
        <v>10</v>
      </c>
      <c r="D58" t="s">
        <v>39</v>
      </c>
      <c r="E58" t="s">
        <v>39</v>
      </c>
      <c r="F58" t="s">
        <v>151</v>
      </c>
      <c r="G58">
        <v>27</v>
      </c>
      <c r="H58" t="s">
        <v>429</v>
      </c>
      <c r="I58">
        <v>0.36276072263717651</v>
      </c>
      <c r="J58">
        <v>1.0183967351913452</v>
      </c>
      <c r="L58">
        <v>0</v>
      </c>
      <c r="O58" t="s">
        <v>141</v>
      </c>
      <c r="P58">
        <v>1</v>
      </c>
      <c r="Q58">
        <v>9000000</v>
      </c>
      <c r="R58">
        <v>9000000</v>
      </c>
      <c r="S58">
        <f t="shared" si="8"/>
        <v>0</v>
      </c>
      <c r="T58">
        <f t="shared" si="9"/>
        <v>1</v>
      </c>
      <c r="U58">
        <f t="shared" si="1"/>
        <v>0</v>
      </c>
      <c r="V58">
        <v>0</v>
      </c>
      <c r="W58">
        <f t="shared" si="2"/>
        <v>0</v>
      </c>
      <c r="X58">
        <f t="shared" si="3"/>
        <v>0</v>
      </c>
      <c r="Y58">
        <f t="shared" si="4"/>
        <v>0</v>
      </c>
      <c r="Z58">
        <f t="shared" si="5"/>
        <v>0</v>
      </c>
      <c r="AA58">
        <f t="shared" si="10"/>
        <v>0</v>
      </c>
      <c r="AB58">
        <f t="shared" si="11"/>
        <v>0</v>
      </c>
      <c r="AC58">
        <f t="shared" si="12"/>
        <v>0</v>
      </c>
      <c r="AD58">
        <f t="shared" si="6"/>
        <v>0</v>
      </c>
      <c r="AE58">
        <f t="shared" si="7"/>
        <v>0</v>
      </c>
      <c r="AF58">
        <f t="shared" si="0"/>
        <v>9000000</v>
      </c>
    </row>
    <row r="59" spans="1:32" x14ac:dyDescent="0.35">
      <c r="A59" s="1">
        <v>0</v>
      </c>
      <c r="B59" t="s">
        <v>309</v>
      </c>
      <c r="C59" t="s">
        <v>10</v>
      </c>
      <c r="D59" t="s">
        <v>39</v>
      </c>
      <c r="E59" t="s">
        <v>39</v>
      </c>
      <c r="F59" t="s">
        <v>81</v>
      </c>
      <c r="G59">
        <v>33</v>
      </c>
      <c r="H59" t="s">
        <v>310</v>
      </c>
      <c r="I59">
        <v>0.67994749546051025</v>
      </c>
      <c r="J59">
        <v>1.0085035562515259</v>
      </c>
      <c r="K59">
        <v>1</v>
      </c>
      <c r="L59">
        <v>5500000</v>
      </c>
      <c r="M59">
        <v>5500000</v>
      </c>
      <c r="O59" t="s">
        <v>81</v>
      </c>
      <c r="P59">
        <v>1</v>
      </c>
      <c r="Q59">
        <v>7000000</v>
      </c>
      <c r="R59">
        <v>7000000</v>
      </c>
      <c r="S59">
        <f t="shared" si="8"/>
        <v>0</v>
      </c>
      <c r="T59">
        <f t="shared" si="9"/>
        <v>1</v>
      </c>
      <c r="U59">
        <f t="shared" si="1"/>
        <v>0</v>
      </c>
      <c r="V59">
        <v>0</v>
      </c>
      <c r="W59">
        <f t="shared" si="2"/>
        <v>0</v>
      </c>
      <c r="X59">
        <f t="shared" si="3"/>
        <v>0</v>
      </c>
      <c r="Y59">
        <f t="shared" si="4"/>
        <v>0</v>
      </c>
      <c r="Z59">
        <f t="shared" si="5"/>
        <v>0</v>
      </c>
      <c r="AA59">
        <f t="shared" si="10"/>
        <v>0</v>
      </c>
      <c r="AB59">
        <f t="shared" si="11"/>
        <v>0</v>
      </c>
      <c r="AC59">
        <f t="shared" si="12"/>
        <v>0</v>
      </c>
      <c r="AD59">
        <f t="shared" si="6"/>
        <v>0</v>
      </c>
      <c r="AE59">
        <f t="shared" si="7"/>
        <v>0</v>
      </c>
      <c r="AF59">
        <f t="shared" si="0"/>
        <v>5500000</v>
      </c>
    </row>
    <row r="60" spans="1:32" x14ac:dyDescent="0.35">
      <c r="A60" s="1">
        <v>0</v>
      </c>
      <c r="B60" t="s">
        <v>190</v>
      </c>
      <c r="C60" t="s">
        <v>191</v>
      </c>
      <c r="D60" t="s">
        <v>33</v>
      </c>
      <c r="E60" t="s">
        <v>33</v>
      </c>
      <c r="F60" t="s">
        <v>36</v>
      </c>
      <c r="G60">
        <v>31</v>
      </c>
      <c r="H60" t="s">
        <v>192</v>
      </c>
      <c r="I60">
        <v>1.3797411918640137</v>
      </c>
      <c r="J60">
        <v>0.98574739694595337</v>
      </c>
      <c r="K60">
        <v>2</v>
      </c>
      <c r="L60">
        <v>14000000</v>
      </c>
      <c r="M60">
        <v>7000000</v>
      </c>
      <c r="O60" t="s">
        <v>36</v>
      </c>
      <c r="P60">
        <v>1</v>
      </c>
      <c r="Q60">
        <v>7500000</v>
      </c>
      <c r="R60">
        <v>7500000</v>
      </c>
      <c r="S60">
        <f t="shared" ref="S60:S123" si="13">IF(N60&gt;0, 1, 0)</f>
        <v>0</v>
      </c>
      <c r="T60">
        <f t="shared" si="9"/>
        <v>0</v>
      </c>
      <c r="U60">
        <f t="shared" si="1"/>
        <v>0</v>
      </c>
      <c r="V60">
        <v>0</v>
      </c>
      <c r="W60">
        <f t="shared" si="2"/>
        <v>0</v>
      </c>
      <c r="X60">
        <f t="shared" si="3"/>
        <v>0</v>
      </c>
      <c r="Y60">
        <f t="shared" si="4"/>
        <v>0</v>
      </c>
      <c r="Z60">
        <f t="shared" si="5"/>
        <v>0</v>
      </c>
      <c r="AA60">
        <f t="shared" si="10"/>
        <v>1</v>
      </c>
      <c r="AB60">
        <f t="shared" si="11"/>
        <v>0</v>
      </c>
      <c r="AC60">
        <f t="shared" si="12"/>
        <v>1</v>
      </c>
      <c r="AD60">
        <f t="shared" si="6"/>
        <v>0</v>
      </c>
      <c r="AE60">
        <f t="shared" si="7"/>
        <v>1</v>
      </c>
      <c r="AF60">
        <f t="shared" si="0"/>
        <v>7000000</v>
      </c>
    </row>
    <row r="61" spans="1:32" x14ac:dyDescent="0.35">
      <c r="A61" s="1">
        <v>0</v>
      </c>
      <c r="B61" t="s">
        <v>250</v>
      </c>
      <c r="C61" t="s">
        <v>65</v>
      </c>
      <c r="D61" t="s">
        <v>33</v>
      </c>
      <c r="E61" t="s">
        <v>33</v>
      </c>
      <c r="F61" t="s">
        <v>100</v>
      </c>
      <c r="G61">
        <v>32</v>
      </c>
      <c r="H61" t="s">
        <v>251</v>
      </c>
      <c r="I61">
        <v>0.95013284683227539</v>
      </c>
      <c r="J61">
        <v>0.97045028209686279</v>
      </c>
      <c r="K61">
        <v>2</v>
      </c>
      <c r="L61">
        <v>22000000</v>
      </c>
      <c r="M61">
        <v>11000000</v>
      </c>
      <c r="O61" t="s">
        <v>134</v>
      </c>
      <c r="P61">
        <v>1</v>
      </c>
      <c r="Q61">
        <v>10000000</v>
      </c>
      <c r="R61">
        <v>10000000</v>
      </c>
      <c r="S61">
        <f t="shared" si="13"/>
        <v>0</v>
      </c>
      <c r="T61">
        <f t="shared" si="9"/>
        <v>0</v>
      </c>
      <c r="U61">
        <f t="shared" si="1"/>
        <v>0</v>
      </c>
      <c r="V61">
        <v>0</v>
      </c>
      <c r="W61">
        <f t="shared" si="2"/>
        <v>0</v>
      </c>
      <c r="X61">
        <f t="shared" si="3"/>
        <v>0</v>
      </c>
      <c r="Y61">
        <f t="shared" si="4"/>
        <v>0</v>
      </c>
      <c r="Z61">
        <f t="shared" si="5"/>
        <v>0</v>
      </c>
      <c r="AA61">
        <f t="shared" si="10"/>
        <v>1</v>
      </c>
      <c r="AB61">
        <f t="shared" si="11"/>
        <v>0</v>
      </c>
      <c r="AC61">
        <f t="shared" si="12"/>
        <v>1</v>
      </c>
      <c r="AD61">
        <f t="shared" si="6"/>
        <v>0</v>
      </c>
      <c r="AE61">
        <f t="shared" si="7"/>
        <v>0</v>
      </c>
      <c r="AF61">
        <f t="shared" si="0"/>
        <v>11000000</v>
      </c>
    </row>
    <row r="62" spans="1:32" x14ac:dyDescent="0.35">
      <c r="A62" s="1">
        <v>0</v>
      </c>
      <c r="B62" t="s">
        <v>243</v>
      </c>
      <c r="C62" t="s">
        <v>244</v>
      </c>
      <c r="D62" t="s">
        <v>33</v>
      </c>
      <c r="E62" t="s">
        <v>33</v>
      </c>
      <c r="F62" t="s">
        <v>104</v>
      </c>
      <c r="G62">
        <v>34</v>
      </c>
      <c r="H62" t="s">
        <v>245</v>
      </c>
      <c r="I62">
        <v>1.0476001501083374</v>
      </c>
      <c r="J62">
        <v>0.96923506259918213</v>
      </c>
      <c r="L62">
        <v>0</v>
      </c>
      <c r="O62" t="s">
        <v>151</v>
      </c>
      <c r="P62">
        <v>1</v>
      </c>
      <c r="Q62">
        <v>1950000</v>
      </c>
      <c r="R62">
        <v>1950000</v>
      </c>
      <c r="S62">
        <f t="shared" si="13"/>
        <v>0</v>
      </c>
      <c r="T62">
        <f t="shared" si="9"/>
        <v>0</v>
      </c>
      <c r="U62">
        <f t="shared" si="1"/>
        <v>0</v>
      </c>
      <c r="V62">
        <v>0</v>
      </c>
      <c r="W62">
        <f t="shared" si="2"/>
        <v>0</v>
      </c>
      <c r="X62">
        <f t="shared" si="3"/>
        <v>0</v>
      </c>
      <c r="Y62">
        <f t="shared" si="4"/>
        <v>0</v>
      </c>
      <c r="Z62">
        <f t="shared" si="5"/>
        <v>0</v>
      </c>
      <c r="AA62">
        <f t="shared" si="10"/>
        <v>1</v>
      </c>
      <c r="AB62">
        <f t="shared" si="11"/>
        <v>1</v>
      </c>
      <c r="AC62">
        <f t="shared" si="12"/>
        <v>1</v>
      </c>
      <c r="AD62">
        <f t="shared" si="6"/>
        <v>0</v>
      </c>
      <c r="AE62">
        <f t="shared" si="7"/>
        <v>0</v>
      </c>
      <c r="AF62">
        <f t="shared" si="0"/>
        <v>1950000</v>
      </c>
    </row>
    <row r="63" spans="1:32" x14ac:dyDescent="0.35">
      <c r="A63" s="1">
        <v>0</v>
      </c>
      <c r="B63" t="s">
        <v>183</v>
      </c>
      <c r="C63" t="s">
        <v>10</v>
      </c>
      <c r="D63" t="s">
        <v>39</v>
      </c>
      <c r="E63" t="s">
        <v>39</v>
      </c>
      <c r="F63" t="s">
        <v>184</v>
      </c>
      <c r="G63">
        <v>37</v>
      </c>
      <c r="H63" t="s">
        <v>185</v>
      </c>
      <c r="I63">
        <v>1.428179144859314</v>
      </c>
      <c r="J63">
        <v>0.96512174606323242</v>
      </c>
      <c r="K63">
        <v>1</v>
      </c>
      <c r="L63">
        <v>10000000</v>
      </c>
      <c r="M63">
        <v>10000000</v>
      </c>
      <c r="O63" t="s">
        <v>56</v>
      </c>
      <c r="P63">
        <v>1</v>
      </c>
      <c r="Q63">
        <v>5250000</v>
      </c>
      <c r="R63">
        <v>5250000</v>
      </c>
      <c r="S63">
        <f t="shared" si="13"/>
        <v>0</v>
      </c>
      <c r="T63">
        <f t="shared" si="9"/>
        <v>1</v>
      </c>
      <c r="U63">
        <f t="shared" si="1"/>
        <v>0</v>
      </c>
      <c r="V63">
        <v>0</v>
      </c>
      <c r="W63">
        <f t="shared" si="2"/>
        <v>0</v>
      </c>
      <c r="X63">
        <f t="shared" si="3"/>
        <v>0</v>
      </c>
      <c r="Y63">
        <f t="shared" si="4"/>
        <v>0</v>
      </c>
      <c r="Z63">
        <f t="shared" si="5"/>
        <v>0</v>
      </c>
      <c r="AA63">
        <f t="shared" si="10"/>
        <v>0</v>
      </c>
      <c r="AB63">
        <f t="shared" si="11"/>
        <v>0</v>
      </c>
      <c r="AC63">
        <f t="shared" si="12"/>
        <v>0</v>
      </c>
      <c r="AD63">
        <f t="shared" si="6"/>
        <v>0</v>
      </c>
      <c r="AE63">
        <f t="shared" si="7"/>
        <v>0</v>
      </c>
      <c r="AF63">
        <f t="shared" si="0"/>
        <v>10000000</v>
      </c>
    </row>
    <row r="64" spans="1:32" x14ac:dyDescent="0.35">
      <c r="A64" s="1">
        <v>0</v>
      </c>
      <c r="B64" t="s">
        <v>374</v>
      </c>
      <c r="C64" t="s">
        <v>10</v>
      </c>
      <c r="D64" t="s">
        <v>33</v>
      </c>
      <c r="E64" t="s">
        <v>33</v>
      </c>
      <c r="F64" t="s">
        <v>46</v>
      </c>
      <c r="G64">
        <v>34</v>
      </c>
      <c r="H64" t="s">
        <v>375</v>
      </c>
      <c r="I64">
        <v>0.49794203042984009</v>
      </c>
      <c r="J64">
        <v>0.91062599420547485</v>
      </c>
      <c r="K64">
        <v>1</v>
      </c>
      <c r="L64">
        <v>7000000</v>
      </c>
      <c r="M64">
        <v>7000000</v>
      </c>
      <c r="O64" t="s">
        <v>151</v>
      </c>
      <c r="P64">
        <v>1</v>
      </c>
      <c r="Q64">
        <v>5000000</v>
      </c>
      <c r="R64">
        <v>5000000</v>
      </c>
      <c r="S64">
        <f t="shared" si="13"/>
        <v>0</v>
      </c>
      <c r="T64">
        <f t="shared" si="9"/>
        <v>1</v>
      </c>
      <c r="U64">
        <f t="shared" si="1"/>
        <v>0</v>
      </c>
      <c r="V64">
        <v>0</v>
      </c>
      <c r="W64">
        <f t="shared" si="2"/>
        <v>0</v>
      </c>
      <c r="X64">
        <f t="shared" si="3"/>
        <v>0</v>
      </c>
      <c r="Y64">
        <f t="shared" si="4"/>
        <v>0</v>
      </c>
      <c r="Z64">
        <f t="shared" si="5"/>
        <v>0</v>
      </c>
      <c r="AA64">
        <f t="shared" si="10"/>
        <v>0</v>
      </c>
      <c r="AB64">
        <f t="shared" si="11"/>
        <v>0</v>
      </c>
      <c r="AC64">
        <f t="shared" si="12"/>
        <v>0</v>
      </c>
      <c r="AD64">
        <f t="shared" si="6"/>
        <v>0</v>
      </c>
      <c r="AE64">
        <f t="shared" si="7"/>
        <v>0</v>
      </c>
      <c r="AF64">
        <f t="shared" si="0"/>
        <v>7000000</v>
      </c>
    </row>
    <row r="65" spans="1:32" x14ac:dyDescent="0.35">
      <c r="A65" s="1">
        <v>0</v>
      </c>
      <c r="B65" t="s">
        <v>409</v>
      </c>
      <c r="C65" t="s">
        <v>10</v>
      </c>
      <c r="D65" t="s">
        <v>39</v>
      </c>
      <c r="E65" t="s">
        <v>39</v>
      </c>
      <c r="F65" t="s">
        <v>104</v>
      </c>
      <c r="G65">
        <v>35</v>
      </c>
      <c r="H65" t="s">
        <v>410</v>
      </c>
      <c r="I65">
        <v>0.41013327240943909</v>
      </c>
      <c r="J65">
        <v>0.85594969987869263</v>
      </c>
      <c r="L65">
        <v>0</v>
      </c>
      <c r="O65" t="s">
        <v>62</v>
      </c>
      <c r="P65">
        <v>1</v>
      </c>
      <c r="Q65">
        <v>2500000</v>
      </c>
      <c r="R65">
        <v>2500000</v>
      </c>
      <c r="S65">
        <f t="shared" si="13"/>
        <v>0</v>
      </c>
      <c r="T65">
        <f t="shared" si="9"/>
        <v>1</v>
      </c>
      <c r="U65">
        <f t="shared" si="1"/>
        <v>0</v>
      </c>
      <c r="V65">
        <v>0</v>
      </c>
      <c r="W65">
        <f t="shared" si="2"/>
        <v>0</v>
      </c>
      <c r="X65">
        <f t="shared" si="3"/>
        <v>0</v>
      </c>
      <c r="Y65">
        <f t="shared" si="4"/>
        <v>0</v>
      </c>
      <c r="Z65">
        <f t="shared" si="5"/>
        <v>0</v>
      </c>
      <c r="AA65">
        <f t="shared" si="10"/>
        <v>0</v>
      </c>
      <c r="AB65">
        <f t="shared" si="11"/>
        <v>0</v>
      </c>
      <c r="AC65">
        <f t="shared" si="12"/>
        <v>0</v>
      </c>
      <c r="AD65">
        <f t="shared" si="6"/>
        <v>0</v>
      </c>
      <c r="AE65">
        <f t="shared" si="7"/>
        <v>0</v>
      </c>
      <c r="AF65">
        <f t="shared" si="0"/>
        <v>2500000</v>
      </c>
    </row>
    <row r="66" spans="1:32" x14ac:dyDescent="0.35">
      <c r="A66" s="1">
        <v>0</v>
      </c>
      <c r="B66" t="s">
        <v>133</v>
      </c>
      <c r="C66" t="s">
        <v>9</v>
      </c>
      <c r="D66" t="s">
        <v>39</v>
      </c>
      <c r="E66" t="s">
        <v>39</v>
      </c>
      <c r="F66" t="s">
        <v>134</v>
      </c>
      <c r="G66">
        <v>32</v>
      </c>
      <c r="H66" t="s">
        <v>135</v>
      </c>
      <c r="I66">
        <v>2.0313034057617188</v>
      </c>
      <c r="J66">
        <v>0.82233375310897827</v>
      </c>
      <c r="K66">
        <v>3</v>
      </c>
      <c r="L66">
        <v>30000000</v>
      </c>
      <c r="M66">
        <v>10000000</v>
      </c>
      <c r="O66" t="s">
        <v>86</v>
      </c>
      <c r="P66">
        <v>3</v>
      </c>
      <c r="Q66">
        <v>33000000</v>
      </c>
      <c r="R66">
        <v>11000000</v>
      </c>
      <c r="S66">
        <f t="shared" si="13"/>
        <v>0</v>
      </c>
      <c r="T66">
        <f t="shared" si="9"/>
        <v>0</v>
      </c>
      <c r="U66">
        <f t="shared" si="1"/>
        <v>1</v>
      </c>
      <c r="V66">
        <v>0</v>
      </c>
      <c r="W66">
        <f t="shared" si="2"/>
        <v>0</v>
      </c>
      <c r="X66">
        <f t="shared" si="3"/>
        <v>0</v>
      </c>
      <c r="Y66">
        <f t="shared" si="4"/>
        <v>0</v>
      </c>
      <c r="Z66">
        <f t="shared" si="5"/>
        <v>0</v>
      </c>
      <c r="AA66">
        <f t="shared" si="10"/>
        <v>0</v>
      </c>
      <c r="AB66">
        <f t="shared" si="11"/>
        <v>0</v>
      </c>
      <c r="AC66">
        <f t="shared" si="12"/>
        <v>0</v>
      </c>
      <c r="AD66">
        <f t="shared" si="6"/>
        <v>0</v>
      </c>
      <c r="AE66">
        <f t="shared" si="7"/>
        <v>0</v>
      </c>
      <c r="AF66">
        <f t="shared" si="0"/>
        <v>10000000</v>
      </c>
    </row>
    <row r="67" spans="1:32" x14ac:dyDescent="0.35">
      <c r="A67" s="1">
        <v>0</v>
      </c>
      <c r="B67" t="s">
        <v>171</v>
      </c>
      <c r="C67" t="s">
        <v>9</v>
      </c>
      <c r="D67" t="s">
        <v>39</v>
      </c>
      <c r="E67" t="s">
        <v>33</v>
      </c>
      <c r="F67" t="s">
        <v>46</v>
      </c>
      <c r="G67">
        <v>30</v>
      </c>
      <c r="H67" t="s">
        <v>117</v>
      </c>
      <c r="I67">
        <v>1.6380876302719116</v>
      </c>
      <c r="J67">
        <v>0.79611372947692871</v>
      </c>
      <c r="K67">
        <v>3</v>
      </c>
      <c r="L67">
        <v>36000000</v>
      </c>
      <c r="M67">
        <v>12000000</v>
      </c>
      <c r="O67" t="s">
        <v>66</v>
      </c>
      <c r="P67">
        <v>4</v>
      </c>
      <c r="Q67">
        <v>72000000</v>
      </c>
      <c r="R67">
        <v>15841901</v>
      </c>
      <c r="S67">
        <f t="shared" si="13"/>
        <v>0</v>
      </c>
      <c r="T67">
        <f t="shared" si="9"/>
        <v>0</v>
      </c>
      <c r="U67">
        <f t="shared" si="1"/>
        <v>1</v>
      </c>
      <c r="V67">
        <v>0</v>
      </c>
      <c r="W67">
        <f t="shared" si="2"/>
        <v>0</v>
      </c>
      <c r="X67">
        <f t="shared" si="3"/>
        <v>0</v>
      </c>
      <c r="Y67">
        <f t="shared" si="4"/>
        <v>0</v>
      </c>
      <c r="Z67">
        <f t="shared" si="5"/>
        <v>0</v>
      </c>
      <c r="AA67">
        <f t="shared" si="10"/>
        <v>0</v>
      </c>
      <c r="AB67">
        <f t="shared" si="11"/>
        <v>0</v>
      </c>
      <c r="AC67">
        <f t="shared" si="12"/>
        <v>0</v>
      </c>
      <c r="AD67">
        <f t="shared" si="6"/>
        <v>0</v>
      </c>
      <c r="AE67">
        <f t="shared" si="7"/>
        <v>0</v>
      </c>
      <c r="AF67">
        <f t="shared" si="0"/>
        <v>12000000</v>
      </c>
    </row>
    <row r="68" spans="1:32" x14ac:dyDescent="0.35">
      <c r="A68" s="1">
        <v>0</v>
      </c>
      <c r="B68" t="s">
        <v>140</v>
      </c>
      <c r="C68" t="s">
        <v>10</v>
      </c>
      <c r="D68" t="s">
        <v>39</v>
      </c>
      <c r="E68" t="s">
        <v>39</v>
      </c>
      <c r="F68" t="s">
        <v>141</v>
      </c>
      <c r="G68">
        <v>33</v>
      </c>
      <c r="H68" t="s">
        <v>142</v>
      </c>
      <c r="I68">
        <v>1.9769130945205688</v>
      </c>
      <c r="J68">
        <v>0.77775895595550537</v>
      </c>
      <c r="K68">
        <v>2</v>
      </c>
      <c r="L68">
        <v>18000000</v>
      </c>
      <c r="M68">
        <v>9000000</v>
      </c>
      <c r="O68" t="s">
        <v>141</v>
      </c>
      <c r="P68">
        <v>2</v>
      </c>
      <c r="Q68">
        <v>14000000</v>
      </c>
      <c r="R68">
        <v>7000000</v>
      </c>
      <c r="S68">
        <f t="shared" si="13"/>
        <v>0</v>
      </c>
      <c r="T68">
        <f t="shared" si="9"/>
        <v>1</v>
      </c>
      <c r="U68">
        <f t="shared" si="1"/>
        <v>0</v>
      </c>
      <c r="V68">
        <v>0</v>
      </c>
      <c r="W68">
        <f t="shared" si="2"/>
        <v>0</v>
      </c>
      <c r="X68">
        <f t="shared" si="3"/>
        <v>0</v>
      </c>
      <c r="Y68">
        <f t="shared" si="4"/>
        <v>0</v>
      </c>
      <c r="Z68">
        <f t="shared" si="5"/>
        <v>0</v>
      </c>
      <c r="AA68">
        <f t="shared" si="10"/>
        <v>0</v>
      </c>
      <c r="AB68">
        <f t="shared" si="11"/>
        <v>0</v>
      </c>
      <c r="AC68">
        <f t="shared" si="12"/>
        <v>0</v>
      </c>
      <c r="AD68">
        <f t="shared" si="6"/>
        <v>0</v>
      </c>
      <c r="AE68">
        <f t="shared" si="7"/>
        <v>0</v>
      </c>
      <c r="AF68">
        <f t="shared" si="0"/>
        <v>9000000</v>
      </c>
    </row>
    <row r="69" spans="1:32" x14ac:dyDescent="0.35">
      <c r="A69" s="1">
        <v>0</v>
      </c>
      <c r="B69" t="s">
        <v>356</v>
      </c>
      <c r="C69" t="s">
        <v>10</v>
      </c>
      <c r="D69" t="s">
        <v>33</v>
      </c>
      <c r="E69" t="s">
        <v>39</v>
      </c>
      <c r="F69" t="s">
        <v>254</v>
      </c>
      <c r="G69">
        <v>30</v>
      </c>
      <c r="H69" t="s">
        <v>357</v>
      </c>
      <c r="I69">
        <v>0.53538531064987183</v>
      </c>
      <c r="J69">
        <v>0.7732168436050415</v>
      </c>
      <c r="L69">
        <v>0</v>
      </c>
      <c r="O69" t="s">
        <v>358</v>
      </c>
      <c r="P69">
        <v>1</v>
      </c>
      <c r="Q69">
        <v>3500000</v>
      </c>
      <c r="R69">
        <v>3500000</v>
      </c>
      <c r="S69">
        <f t="shared" si="13"/>
        <v>0</v>
      </c>
      <c r="T69">
        <f t="shared" si="9"/>
        <v>1</v>
      </c>
      <c r="U69">
        <f t="shared" si="1"/>
        <v>0</v>
      </c>
      <c r="V69">
        <v>0</v>
      </c>
      <c r="W69">
        <f t="shared" si="2"/>
        <v>0</v>
      </c>
      <c r="X69">
        <f t="shared" si="3"/>
        <v>0</v>
      </c>
      <c r="Y69">
        <f t="shared" si="4"/>
        <v>0</v>
      </c>
      <c r="Z69">
        <f t="shared" si="5"/>
        <v>0</v>
      </c>
      <c r="AA69">
        <f t="shared" si="10"/>
        <v>0</v>
      </c>
      <c r="AB69">
        <f t="shared" si="11"/>
        <v>0</v>
      </c>
      <c r="AC69">
        <f t="shared" si="12"/>
        <v>0</v>
      </c>
      <c r="AD69">
        <f t="shared" si="6"/>
        <v>0</v>
      </c>
      <c r="AE69">
        <f t="shared" si="7"/>
        <v>0</v>
      </c>
      <c r="AF69">
        <f t="shared" si="0"/>
        <v>3500000</v>
      </c>
    </row>
    <row r="70" spans="1:32" x14ac:dyDescent="0.35">
      <c r="A70" s="1">
        <v>0</v>
      </c>
      <c r="B70" t="s">
        <v>237</v>
      </c>
      <c r="C70" t="s">
        <v>9</v>
      </c>
      <c r="D70" t="s">
        <v>33</v>
      </c>
      <c r="E70" t="s">
        <v>33</v>
      </c>
      <c r="F70" t="s">
        <v>125</v>
      </c>
      <c r="G70">
        <v>37</v>
      </c>
      <c r="H70" t="s">
        <v>238</v>
      </c>
      <c r="I70">
        <v>1.0912429094314575</v>
      </c>
      <c r="J70">
        <v>0.76992553472518921</v>
      </c>
      <c r="K70">
        <v>1</v>
      </c>
      <c r="L70">
        <v>10000000</v>
      </c>
      <c r="M70">
        <v>10000000</v>
      </c>
      <c r="O70" t="s">
        <v>53</v>
      </c>
      <c r="P70">
        <v>1</v>
      </c>
      <c r="Q70">
        <v>10750000</v>
      </c>
      <c r="R70">
        <v>10750000</v>
      </c>
      <c r="S70">
        <f t="shared" si="13"/>
        <v>0</v>
      </c>
      <c r="T70">
        <f t="shared" si="9"/>
        <v>0</v>
      </c>
      <c r="U70">
        <f t="shared" si="1"/>
        <v>1</v>
      </c>
      <c r="V70">
        <v>0</v>
      </c>
      <c r="W70">
        <f t="shared" si="2"/>
        <v>0</v>
      </c>
      <c r="X70">
        <f t="shared" si="3"/>
        <v>0</v>
      </c>
      <c r="Y70">
        <f t="shared" si="4"/>
        <v>0</v>
      </c>
      <c r="Z70">
        <f t="shared" si="5"/>
        <v>0</v>
      </c>
      <c r="AA70">
        <f t="shared" si="10"/>
        <v>0</v>
      </c>
      <c r="AB70">
        <f t="shared" si="11"/>
        <v>0</v>
      </c>
      <c r="AC70">
        <f t="shared" si="12"/>
        <v>0</v>
      </c>
      <c r="AD70">
        <f t="shared" si="6"/>
        <v>0</v>
      </c>
      <c r="AE70">
        <f t="shared" si="7"/>
        <v>0</v>
      </c>
      <c r="AF70">
        <f t="shared" si="0"/>
        <v>10000000</v>
      </c>
    </row>
    <row r="71" spans="1:32" x14ac:dyDescent="0.35">
      <c r="A71" s="1">
        <v>0</v>
      </c>
      <c r="B71" t="s">
        <v>421</v>
      </c>
      <c r="C71" t="s">
        <v>422</v>
      </c>
      <c r="D71" t="s">
        <v>39</v>
      </c>
      <c r="E71" t="s">
        <v>39</v>
      </c>
      <c r="F71" t="s">
        <v>40</v>
      </c>
      <c r="G71">
        <v>32</v>
      </c>
      <c r="H71" t="s">
        <v>423</v>
      </c>
      <c r="I71">
        <v>0.37407970428466797</v>
      </c>
      <c r="J71">
        <v>0.70520538091659546</v>
      </c>
      <c r="L71">
        <v>0</v>
      </c>
      <c r="O71" t="s">
        <v>56</v>
      </c>
      <c r="P71">
        <v>1</v>
      </c>
      <c r="Q71">
        <v>8500000</v>
      </c>
      <c r="R71">
        <v>8500000</v>
      </c>
      <c r="S71">
        <f t="shared" si="13"/>
        <v>0</v>
      </c>
      <c r="T71">
        <f t="shared" si="9"/>
        <v>0</v>
      </c>
      <c r="U71">
        <f t="shared" si="1"/>
        <v>0</v>
      </c>
      <c r="V71">
        <v>1</v>
      </c>
      <c r="W71">
        <f t="shared" si="2"/>
        <v>0</v>
      </c>
      <c r="X71">
        <f t="shared" si="3"/>
        <v>0</v>
      </c>
      <c r="Y71">
        <f t="shared" si="4"/>
        <v>0</v>
      </c>
      <c r="Z71">
        <f t="shared" si="5"/>
        <v>0</v>
      </c>
      <c r="AA71">
        <f t="shared" si="10"/>
        <v>0</v>
      </c>
      <c r="AB71">
        <f t="shared" si="11"/>
        <v>0</v>
      </c>
      <c r="AC71">
        <f t="shared" si="12"/>
        <v>0</v>
      </c>
      <c r="AD71">
        <f t="shared" si="6"/>
        <v>0</v>
      </c>
      <c r="AE71">
        <f t="shared" si="7"/>
        <v>1</v>
      </c>
      <c r="AF71">
        <f t="shared" si="0"/>
        <v>8500000</v>
      </c>
    </row>
    <row r="72" spans="1:32" x14ac:dyDescent="0.35">
      <c r="A72" s="1">
        <v>0</v>
      </c>
      <c r="B72" t="s">
        <v>477</v>
      </c>
      <c r="C72" t="s">
        <v>478</v>
      </c>
      <c r="D72" t="s">
        <v>39</v>
      </c>
      <c r="E72" t="s">
        <v>39</v>
      </c>
      <c r="F72" t="s">
        <v>70</v>
      </c>
      <c r="G72">
        <v>29</v>
      </c>
      <c r="H72" t="s">
        <v>479</v>
      </c>
      <c r="I72">
        <v>0.21797968447208405</v>
      </c>
      <c r="J72">
        <v>0.69562423229217529</v>
      </c>
      <c r="L72">
        <v>0</v>
      </c>
      <c r="O72" t="s">
        <v>141</v>
      </c>
      <c r="P72">
        <v>1</v>
      </c>
      <c r="Q72">
        <v>2000000</v>
      </c>
      <c r="R72">
        <v>2000000</v>
      </c>
      <c r="S72">
        <f t="shared" si="13"/>
        <v>0</v>
      </c>
      <c r="T72">
        <f t="shared" si="9"/>
        <v>0</v>
      </c>
      <c r="U72">
        <f t="shared" si="1"/>
        <v>0</v>
      </c>
      <c r="V72">
        <v>0</v>
      </c>
      <c r="W72">
        <f t="shared" si="2"/>
        <v>0</v>
      </c>
      <c r="X72">
        <f t="shared" si="3"/>
        <v>1</v>
      </c>
      <c r="Y72">
        <f t="shared" si="4"/>
        <v>1</v>
      </c>
      <c r="Z72">
        <f t="shared" si="5"/>
        <v>1</v>
      </c>
      <c r="AA72">
        <f t="shared" si="10"/>
        <v>0</v>
      </c>
      <c r="AB72">
        <f t="shared" si="11"/>
        <v>0</v>
      </c>
      <c r="AC72">
        <f t="shared" si="12"/>
        <v>1</v>
      </c>
      <c r="AD72">
        <f t="shared" si="6"/>
        <v>0</v>
      </c>
      <c r="AE72">
        <f t="shared" si="7"/>
        <v>0</v>
      </c>
      <c r="AF72">
        <f t="shared" si="0"/>
        <v>2000000</v>
      </c>
    </row>
    <row r="73" spans="1:32" x14ac:dyDescent="0.35">
      <c r="A73" s="1">
        <v>0</v>
      </c>
      <c r="B73" t="s">
        <v>234</v>
      </c>
      <c r="C73" t="s">
        <v>9</v>
      </c>
      <c r="D73" t="s">
        <v>33</v>
      </c>
      <c r="E73" t="s">
        <v>33</v>
      </c>
      <c r="F73" t="s">
        <v>48</v>
      </c>
      <c r="G73">
        <v>31</v>
      </c>
      <c r="H73" t="s">
        <v>235</v>
      </c>
      <c r="I73">
        <v>1.0976227521896362</v>
      </c>
      <c r="J73">
        <v>0.68837302923202515</v>
      </c>
      <c r="L73">
        <v>0</v>
      </c>
      <c r="O73" t="s">
        <v>48</v>
      </c>
      <c r="P73">
        <v>2</v>
      </c>
      <c r="Q73">
        <v>13000000</v>
      </c>
      <c r="R73">
        <v>6500000</v>
      </c>
      <c r="S73">
        <f t="shared" si="13"/>
        <v>0</v>
      </c>
      <c r="T73">
        <f t="shared" si="9"/>
        <v>0</v>
      </c>
      <c r="U73">
        <f t="shared" si="1"/>
        <v>1</v>
      </c>
      <c r="V73">
        <v>0</v>
      </c>
      <c r="W73">
        <f t="shared" si="2"/>
        <v>0</v>
      </c>
      <c r="X73">
        <f t="shared" si="3"/>
        <v>0</v>
      </c>
      <c r="Y73">
        <f t="shared" si="4"/>
        <v>0</v>
      </c>
      <c r="Z73">
        <f t="shared" si="5"/>
        <v>0</v>
      </c>
      <c r="AA73">
        <f t="shared" si="10"/>
        <v>0</v>
      </c>
      <c r="AB73">
        <f t="shared" si="11"/>
        <v>0</v>
      </c>
      <c r="AC73">
        <f t="shared" si="12"/>
        <v>0</v>
      </c>
      <c r="AD73">
        <f t="shared" si="6"/>
        <v>0</v>
      </c>
      <c r="AE73">
        <f t="shared" si="7"/>
        <v>0</v>
      </c>
      <c r="AF73">
        <f t="shared" si="0"/>
        <v>6500000</v>
      </c>
    </row>
    <row r="74" spans="1:32" x14ac:dyDescent="0.35">
      <c r="A74" s="1">
        <v>0</v>
      </c>
      <c r="B74" t="s">
        <v>260</v>
      </c>
      <c r="C74" t="s">
        <v>9</v>
      </c>
      <c r="D74" t="s">
        <v>39</v>
      </c>
      <c r="E74" t="s">
        <v>39</v>
      </c>
      <c r="F74" t="s">
        <v>53</v>
      </c>
      <c r="G74">
        <v>39</v>
      </c>
      <c r="H74" t="s">
        <v>261</v>
      </c>
      <c r="I74">
        <v>0.89683073759078979</v>
      </c>
      <c r="J74">
        <v>0.6744195818901062</v>
      </c>
      <c r="K74">
        <v>1</v>
      </c>
      <c r="L74">
        <v>7000000</v>
      </c>
      <c r="M74">
        <v>7000000</v>
      </c>
      <c r="O74" t="s">
        <v>97</v>
      </c>
      <c r="P74">
        <v>1</v>
      </c>
      <c r="Q74">
        <v>5500000</v>
      </c>
      <c r="R74">
        <v>5500000</v>
      </c>
      <c r="S74">
        <f t="shared" si="13"/>
        <v>0</v>
      </c>
      <c r="T74">
        <f t="shared" si="9"/>
        <v>0</v>
      </c>
      <c r="U74">
        <f t="shared" si="1"/>
        <v>1</v>
      </c>
      <c r="V74">
        <v>0</v>
      </c>
      <c r="W74">
        <f t="shared" si="2"/>
        <v>0</v>
      </c>
      <c r="X74">
        <f t="shared" si="3"/>
        <v>0</v>
      </c>
      <c r="Y74">
        <f t="shared" si="4"/>
        <v>0</v>
      </c>
      <c r="Z74">
        <f t="shared" si="5"/>
        <v>0</v>
      </c>
      <c r="AA74">
        <f t="shared" si="10"/>
        <v>0</v>
      </c>
      <c r="AB74">
        <f t="shared" si="11"/>
        <v>0</v>
      </c>
      <c r="AC74">
        <f t="shared" si="12"/>
        <v>0</v>
      </c>
      <c r="AD74">
        <f t="shared" si="6"/>
        <v>0</v>
      </c>
      <c r="AE74">
        <f t="shared" si="7"/>
        <v>0</v>
      </c>
      <c r="AF74">
        <f t="shared" si="0"/>
        <v>7000000</v>
      </c>
    </row>
    <row r="75" spans="1:32" x14ac:dyDescent="0.35">
      <c r="A75" s="1">
        <v>0</v>
      </c>
      <c r="B75" t="s">
        <v>168</v>
      </c>
      <c r="C75" t="s">
        <v>10</v>
      </c>
      <c r="D75" t="s">
        <v>33</v>
      </c>
      <c r="E75" t="s">
        <v>33</v>
      </c>
      <c r="F75" t="s">
        <v>141</v>
      </c>
      <c r="G75">
        <v>35</v>
      </c>
      <c r="H75" t="s">
        <v>169</v>
      </c>
      <c r="I75">
        <v>1.7376071214675903</v>
      </c>
      <c r="J75">
        <v>0.66931021213531494</v>
      </c>
      <c r="L75">
        <v>0</v>
      </c>
      <c r="O75" t="s">
        <v>97</v>
      </c>
      <c r="P75">
        <v>1</v>
      </c>
      <c r="Q75">
        <v>1100000</v>
      </c>
      <c r="R75">
        <v>1100000</v>
      </c>
      <c r="S75">
        <f t="shared" si="13"/>
        <v>0</v>
      </c>
      <c r="T75">
        <f t="shared" si="9"/>
        <v>1</v>
      </c>
      <c r="U75">
        <f t="shared" si="1"/>
        <v>0</v>
      </c>
      <c r="V75">
        <v>0</v>
      </c>
      <c r="W75">
        <f t="shared" si="2"/>
        <v>0</v>
      </c>
      <c r="X75">
        <f t="shared" si="3"/>
        <v>0</v>
      </c>
      <c r="Y75">
        <f t="shared" si="4"/>
        <v>0</v>
      </c>
      <c r="Z75">
        <f t="shared" si="5"/>
        <v>0</v>
      </c>
      <c r="AA75">
        <f t="shared" si="10"/>
        <v>0</v>
      </c>
      <c r="AB75">
        <f t="shared" si="11"/>
        <v>0</v>
      </c>
      <c r="AC75">
        <f t="shared" si="12"/>
        <v>0</v>
      </c>
      <c r="AD75">
        <f t="shared" si="6"/>
        <v>0</v>
      </c>
      <c r="AE75">
        <f t="shared" si="7"/>
        <v>0</v>
      </c>
      <c r="AF75">
        <f t="shared" si="0"/>
        <v>1100000</v>
      </c>
    </row>
    <row r="76" spans="1:32" x14ac:dyDescent="0.35">
      <c r="A76" s="1">
        <v>0</v>
      </c>
      <c r="B76" t="s">
        <v>545</v>
      </c>
      <c r="C76" t="s">
        <v>10</v>
      </c>
      <c r="D76" t="s">
        <v>39</v>
      </c>
      <c r="E76" t="s">
        <v>39</v>
      </c>
      <c r="F76" t="s">
        <v>62</v>
      </c>
      <c r="G76">
        <v>29</v>
      </c>
      <c r="H76" t="s">
        <v>300</v>
      </c>
      <c r="I76">
        <v>9.968288242816925E-2</v>
      </c>
      <c r="J76">
        <v>0.66780132055282593</v>
      </c>
      <c r="L76">
        <v>0</v>
      </c>
      <c r="O76" t="s">
        <v>36</v>
      </c>
      <c r="P76">
        <v>1</v>
      </c>
      <c r="Q76">
        <v>4250000</v>
      </c>
      <c r="R76">
        <v>4250000</v>
      </c>
      <c r="S76">
        <f t="shared" si="13"/>
        <v>0</v>
      </c>
      <c r="T76">
        <f t="shared" si="9"/>
        <v>1</v>
      </c>
      <c r="U76">
        <f t="shared" si="1"/>
        <v>0</v>
      </c>
      <c r="V76">
        <v>0</v>
      </c>
      <c r="W76">
        <f t="shared" si="2"/>
        <v>0</v>
      </c>
      <c r="X76">
        <f t="shared" si="3"/>
        <v>0</v>
      </c>
      <c r="Y76">
        <f t="shared" si="4"/>
        <v>0</v>
      </c>
      <c r="Z76">
        <f t="shared" si="5"/>
        <v>0</v>
      </c>
      <c r="AA76">
        <f t="shared" si="10"/>
        <v>0</v>
      </c>
      <c r="AB76">
        <f t="shared" si="11"/>
        <v>0</v>
      </c>
      <c r="AC76">
        <f t="shared" si="12"/>
        <v>0</v>
      </c>
      <c r="AD76">
        <f t="shared" si="6"/>
        <v>0</v>
      </c>
      <c r="AE76">
        <f t="shared" si="7"/>
        <v>0</v>
      </c>
      <c r="AF76">
        <f t="shared" si="0"/>
        <v>4250000</v>
      </c>
    </row>
    <row r="77" spans="1:32" x14ac:dyDescent="0.35">
      <c r="A77" s="1">
        <v>0</v>
      </c>
      <c r="B77" t="s">
        <v>247</v>
      </c>
      <c r="C77" t="s">
        <v>9</v>
      </c>
      <c r="D77" t="s">
        <v>39</v>
      </c>
      <c r="E77" t="s">
        <v>39</v>
      </c>
      <c r="F77" t="s">
        <v>66</v>
      </c>
      <c r="G77">
        <v>37</v>
      </c>
      <c r="H77" t="s">
        <v>248</v>
      </c>
      <c r="I77">
        <v>1.0153526067733765</v>
      </c>
      <c r="J77">
        <v>0.61965197324752808</v>
      </c>
      <c r="K77">
        <v>1</v>
      </c>
      <c r="L77">
        <v>8000000</v>
      </c>
      <c r="M77">
        <v>8000000</v>
      </c>
      <c r="O77" t="s">
        <v>66</v>
      </c>
      <c r="P77">
        <v>2</v>
      </c>
      <c r="Q77">
        <v>22000000</v>
      </c>
      <c r="R77">
        <v>11000000</v>
      </c>
      <c r="S77">
        <f t="shared" si="13"/>
        <v>0</v>
      </c>
      <c r="T77">
        <f t="shared" si="9"/>
        <v>0</v>
      </c>
      <c r="U77">
        <f t="shared" si="1"/>
        <v>1</v>
      </c>
      <c r="V77">
        <v>0</v>
      </c>
      <c r="W77">
        <f t="shared" si="2"/>
        <v>0</v>
      </c>
      <c r="X77">
        <f t="shared" si="3"/>
        <v>0</v>
      </c>
      <c r="Y77">
        <f t="shared" si="4"/>
        <v>0</v>
      </c>
      <c r="Z77">
        <f t="shared" si="5"/>
        <v>0</v>
      </c>
      <c r="AA77">
        <f t="shared" si="10"/>
        <v>0</v>
      </c>
      <c r="AB77">
        <f t="shared" si="11"/>
        <v>0</v>
      </c>
      <c r="AC77">
        <f t="shared" si="12"/>
        <v>0</v>
      </c>
      <c r="AD77">
        <f t="shared" si="6"/>
        <v>0</v>
      </c>
      <c r="AE77">
        <f t="shared" si="7"/>
        <v>0</v>
      </c>
      <c r="AF77">
        <f t="shared" si="0"/>
        <v>8000000</v>
      </c>
    </row>
    <row r="78" spans="1:32" x14ac:dyDescent="0.35">
      <c r="A78" s="1">
        <v>0</v>
      </c>
      <c r="B78" t="s">
        <v>415</v>
      </c>
      <c r="C78" t="s">
        <v>9</v>
      </c>
      <c r="D78" t="s">
        <v>39</v>
      </c>
      <c r="E78" t="s">
        <v>39</v>
      </c>
      <c r="F78" t="s">
        <v>149</v>
      </c>
      <c r="G78">
        <v>34</v>
      </c>
      <c r="H78" t="s">
        <v>416</v>
      </c>
      <c r="I78">
        <v>0.40387779474258423</v>
      </c>
      <c r="J78">
        <v>0.58305740356445313</v>
      </c>
      <c r="K78">
        <v>1</v>
      </c>
      <c r="L78">
        <v>5000000</v>
      </c>
      <c r="M78">
        <v>5000000</v>
      </c>
      <c r="O78" t="s">
        <v>86</v>
      </c>
      <c r="P78">
        <v>2</v>
      </c>
      <c r="Q78">
        <v>15000000</v>
      </c>
      <c r="R78">
        <v>7500000</v>
      </c>
      <c r="S78">
        <f t="shared" si="13"/>
        <v>0</v>
      </c>
      <c r="T78">
        <f t="shared" si="9"/>
        <v>0</v>
      </c>
      <c r="U78">
        <f t="shared" si="1"/>
        <v>1</v>
      </c>
      <c r="V78">
        <v>0</v>
      </c>
      <c r="W78">
        <f t="shared" si="2"/>
        <v>0</v>
      </c>
      <c r="X78">
        <f t="shared" si="3"/>
        <v>0</v>
      </c>
      <c r="Y78">
        <f t="shared" si="4"/>
        <v>0</v>
      </c>
      <c r="Z78">
        <f t="shared" si="5"/>
        <v>0</v>
      </c>
      <c r="AA78">
        <f t="shared" si="10"/>
        <v>0</v>
      </c>
      <c r="AB78">
        <f t="shared" si="11"/>
        <v>0</v>
      </c>
      <c r="AC78">
        <f t="shared" si="12"/>
        <v>0</v>
      </c>
      <c r="AD78">
        <f t="shared" si="6"/>
        <v>0</v>
      </c>
      <c r="AE78">
        <f t="shared" si="7"/>
        <v>0</v>
      </c>
      <c r="AF78">
        <f t="shared" si="0"/>
        <v>5000000</v>
      </c>
    </row>
    <row r="79" spans="1:32" x14ac:dyDescent="0.35">
      <c r="A79" s="1">
        <v>0</v>
      </c>
      <c r="B79" t="s">
        <v>333</v>
      </c>
      <c r="C79" t="s">
        <v>334</v>
      </c>
      <c r="D79" t="s">
        <v>39</v>
      </c>
      <c r="E79" t="s">
        <v>39</v>
      </c>
      <c r="F79" t="s">
        <v>66</v>
      </c>
      <c r="G79">
        <v>33</v>
      </c>
      <c r="H79" t="s">
        <v>335</v>
      </c>
      <c r="I79">
        <v>0.61565655469894409</v>
      </c>
      <c r="J79">
        <v>0.57740688323974609</v>
      </c>
      <c r="K79">
        <v>1</v>
      </c>
      <c r="L79">
        <v>5000000</v>
      </c>
      <c r="M79">
        <v>5000000</v>
      </c>
      <c r="O79" t="s">
        <v>66</v>
      </c>
      <c r="P79">
        <v>1</v>
      </c>
      <c r="Q79">
        <v>6500000</v>
      </c>
      <c r="R79">
        <v>6500000</v>
      </c>
      <c r="S79">
        <f t="shared" si="13"/>
        <v>0</v>
      </c>
      <c r="T79">
        <f t="shared" si="9"/>
        <v>0</v>
      </c>
      <c r="U79">
        <f t="shared" si="1"/>
        <v>0</v>
      </c>
      <c r="V79">
        <v>0</v>
      </c>
      <c r="W79">
        <f t="shared" si="2"/>
        <v>0</v>
      </c>
      <c r="X79">
        <f t="shared" si="3"/>
        <v>1</v>
      </c>
      <c r="Y79">
        <f t="shared" si="4"/>
        <v>1</v>
      </c>
      <c r="Z79">
        <f t="shared" si="5"/>
        <v>1</v>
      </c>
      <c r="AA79">
        <f t="shared" si="10"/>
        <v>1</v>
      </c>
      <c r="AB79">
        <f t="shared" si="11"/>
        <v>1</v>
      </c>
      <c r="AC79">
        <f t="shared" si="12"/>
        <v>1</v>
      </c>
      <c r="AD79">
        <f t="shared" si="6"/>
        <v>1</v>
      </c>
      <c r="AE79">
        <f t="shared" si="7"/>
        <v>0</v>
      </c>
      <c r="AF79">
        <f t="shared" si="0"/>
        <v>5000000</v>
      </c>
    </row>
    <row r="80" spans="1:32" x14ac:dyDescent="0.35">
      <c r="A80" s="1">
        <v>0</v>
      </c>
      <c r="B80" t="s">
        <v>603</v>
      </c>
      <c r="C80" t="s">
        <v>9</v>
      </c>
      <c r="D80" t="s">
        <v>33</v>
      </c>
      <c r="E80" t="s">
        <v>33</v>
      </c>
      <c r="F80" t="s">
        <v>48</v>
      </c>
      <c r="G80">
        <v>31</v>
      </c>
      <c r="H80" t="s">
        <v>604</v>
      </c>
      <c r="I80">
        <v>-4.955713078379631E-2</v>
      </c>
      <c r="J80">
        <v>0.54699242115020752</v>
      </c>
      <c r="K80">
        <v>1</v>
      </c>
      <c r="L80">
        <v>5000000</v>
      </c>
      <c r="M80">
        <v>5000000</v>
      </c>
      <c r="O80" t="s">
        <v>36</v>
      </c>
      <c r="P80">
        <v>2</v>
      </c>
      <c r="Q80">
        <v>22000000</v>
      </c>
      <c r="R80">
        <v>11000000</v>
      </c>
      <c r="S80">
        <f t="shared" si="13"/>
        <v>0</v>
      </c>
      <c r="T80">
        <f t="shared" si="9"/>
        <v>0</v>
      </c>
      <c r="U80">
        <f t="shared" si="1"/>
        <v>1</v>
      </c>
      <c r="V80">
        <v>0</v>
      </c>
      <c r="W80">
        <f t="shared" si="2"/>
        <v>0</v>
      </c>
      <c r="X80">
        <f t="shared" si="3"/>
        <v>0</v>
      </c>
      <c r="Y80">
        <f t="shared" si="4"/>
        <v>0</v>
      </c>
      <c r="Z80">
        <f t="shared" si="5"/>
        <v>0</v>
      </c>
      <c r="AA80">
        <f t="shared" si="10"/>
        <v>0</v>
      </c>
      <c r="AB80">
        <f t="shared" si="11"/>
        <v>0</v>
      </c>
      <c r="AC80">
        <f t="shared" si="12"/>
        <v>0</v>
      </c>
      <c r="AD80">
        <f t="shared" si="6"/>
        <v>0</v>
      </c>
      <c r="AE80">
        <f t="shared" si="7"/>
        <v>0</v>
      </c>
      <c r="AF80">
        <f t="shared" si="0"/>
        <v>5000000</v>
      </c>
    </row>
    <row r="81" spans="1:32" x14ac:dyDescent="0.35">
      <c r="A81" s="1">
        <v>0</v>
      </c>
      <c r="B81" t="s">
        <v>533</v>
      </c>
      <c r="C81" t="s">
        <v>9</v>
      </c>
      <c r="D81" t="s">
        <v>33</v>
      </c>
      <c r="E81" t="s">
        <v>33</v>
      </c>
      <c r="F81" t="s">
        <v>70</v>
      </c>
      <c r="G81">
        <v>37</v>
      </c>
      <c r="H81" t="s">
        <v>534</v>
      </c>
      <c r="I81">
        <v>0.11949363350868225</v>
      </c>
      <c r="J81">
        <v>0.5100407600402832</v>
      </c>
      <c r="L81">
        <v>0</v>
      </c>
      <c r="O81" t="s">
        <v>53</v>
      </c>
      <c r="P81">
        <v>1</v>
      </c>
      <c r="Q81">
        <v>2250000</v>
      </c>
      <c r="R81">
        <v>2250000</v>
      </c>
      <c r="S81">
        <f t="shared" si="13"/>
        <v>0</v>
      </c>
      <c r="T81">
        <f t="shared" si="9"/>
        <v>0</v>
      </c>
      <c r="U81">
        <f t="shared" si="1"/>
        <v>1</v>
      </c>
      <c r="V81">
        <v>0</v>
      </c>
      <c r="W81">
        <f t="shared" si="2"/>
        <v>0</v>
      </c>
      <c r="X81">
        <f t="shared" si="3"/>
        <v>0</v>
      </c>
      <c r="Y81">
        <f t="shared" si="4"/>
        <v>0</v>
      </c>
      <c r="Z81">
        <f t="shared" si="5"/>
        <v>0</v>
      </c>
      <c r="AA81">
        <f t="shared" si="10"/>
        <v>0</v>
      </c>
      <c r="AB81">
        <f t="shared" si="11"/>
        <v>0</v>
      </c>
      <c r="AC81">
        <f t="shared" si="12"/>
        <v>0</v>
      </c>
      <c r="AD81">
        <f t="shared" si="6"/>
        <v>0</v>
      </c>
      <c r="AE81">
        <f t="shared" si="7"/>
        <v>0</v>
      </c>
      <c r="AF81">
        <f t="shared" ref="AF81:AF144" si="14">IF(M81="", R81, M81)</f>
        <v>2250000</v>
      </c>
    </row>
    <row r="82" spans="1:32" x14ac:dyDescent="0.35">
      <c r="A82" s="1">
        <v>0</v>
      </c>
      <c r="B82" t="s">
        <v>156</v>
      </c>
      <c r="C82" t="s">
        <v>9</v>
      </c>
      <c r="D82" t="s">
        <v>39</v>
      </c>
      <c r="E82" t="s">
        <v>39</v>
      </c>
      <c r="F82" t="s">
        <v>97</v>
      </c>
      <c r="G82">
        <v>40</v>
      </c>
      <c r="H82" t="s">
        <v>157</v>
      </c>
      <c r="I82">
        <v>1.8453360795974731</v>
      </c>
      <c r="J82">
        <v>0.5094527006149292</v>
      </c>
      <c r="K82">
        <v>1</v>
      </c>
      <c r="L82">
        <v>10000000</v>
      </c>
      <c r="M82">
        <v>10000000</v>
      </c>
      <c r="O82" t="s">
        <v>134</v>
      </c>
      <c r="P82">
        <v>1</v>
      </c>
      <c r="Q82">
        <v>6000000</v>
      </c>
      <c r="R82">
        <v>6000000</v>
      </c>
      <c r="S82">
        <f t="shared" si="13"/>
        <v>0</v>
      </c>
      <c r="T82">
        <f t="shared" si="9"/>
        <v>0</v>
      </c>
      <c r="U82">
        <f t="shared" si="1"/>
        <v>1</v>
      </c>
      <c r="V82">
        <v>0</v>
      </c>
      <c r="W82">
        <f t="shared" si="2"/>
        <v>0</v>
      </c>
      <c r="X82">
        <f t="shared" si="3"/>
        <v>0</v>
      </c>
      <c r="Y82">
        <f t="shared" si="4"/>
        <v>0</v>
      </c>
      <c r="Z82">
        <f t="shared" si="5"/>
        <v>0</v>
      </c>
      <c r="AA82">
        <f t="shared" si="10"/>
        <v>0</v>
      </c>
      <c r="AB82">
        <f t="shared" si="11"/>
        <v>0</v>
      </c>
      <c r="AC82">
        <f t="shared" si="12"/>
        <v>0</v>
      </c>
      <c r="AD82">
        <f t="shared" si="6"/>
        <v>0</v>
      </c>
      <c r="AE82">
        <f t="shared" si="7"/>
        <v>0</v>
      </c>
      <c r="AF82">
        <f t="shared" si="14"/>
        <v>10000000</v>
      </c>
    </row>
    <row r="83" spans="1:32" x14ac:dyDescent="0.35">
      <c r="A83" s="1">
        <v>0</v>
      </c>
      <c r="B83" t="s">
        <v>412</v>
      </c>
      <c r="C83" t="s">
        <v>3</v>
      </c>
      <c r="D83" t="s">
        <v>39</v>
      </c>
      <c r="E83" t="s">
        <v>39</v>
      </c>
      <c r="F83" t="s">
        <v>102</v>
      </c>
      <c r="G83">
        <v>32</v>
      </c>
      <c r="H83" t="s">
        <v>413</v>
      </c>
      <c r="I83">
        <v>0.40625014901161194</v>
      </c>
      <c r="J83">
        <v>0.50772219896316528</v>
      </c>
      <c r="L83">
        <v>0</v>
      </c>
      <c r="O83" t="s">
        <v>102</v>
      </c>
      <c r="P83">
        <v>1</v>
      </c>
      <c r="Q83">
        <v>4000000</v>
      </c>
      <c r="R83">
        <v>4000000</v>
      </c>
      <c r="S83">
        <f t="shared" si="13"/>
        <v>0</v>
      </c>
      <c r="T83">
        <f t="shared" si="9"/>
        <v>0</v>
      </c>
      <c r="U83">
        <f t="shared" si="1"/>
        <v>0</v>
      </c>
      <c r="V83">
        <v>1</v>
      </c>
      <c r="W83">
        <f t="shared" si="2"/>
        <v>0</v>
      </c>
      <c r="X83">
        <f t="shared" si="3"/>
        <v>0</v>
      </c>
      <c r="Y83">
        <f t="shared" si="4"/>
        <v>0</v>
      </c>
      <c r="Z83">
        <f t="shared" si="5"/>
        <v>0</v>
      </c>
      <c r="AA83">
        <f t="shared" si="10"/>
        <v>0</v>
      </c>
      <c r="AB83">
        <f t="shared" si="11"/>
        <v>0</v>
      </c>
      <c r="AC83">
        <f t="shared" si="12"/>
        <v>0</v>
      </c>
      <c r="AD83">
        <f t="shared" si="6"/>
        <v>0</v>
      </c>
      <c r="AE83">
        <f t="shared" si="7"/>
        <v>0</v>
      </c>
      <c r="AF83">
        <f t="shared" si="14"/>
        <v>4000000</v>
      </c>
    </row>
    <row r="84" spans="1:32" x14ac:dyDescent="0.35">
      <c r="A84" s="1">
        <v>0</v>
      </c>
      <c r="B84" t="s">
        <v>324</v>
      </c>
      <c r="C84" t="s">
        <v>10</v>
      </c>
      <c r="D84" t="s">
        <v>39</v>
      </c>
      <c r="E84" t="s">
        <v>39</v>
      </c>
      <c r="F84" t="s">
        <v>134</v>
      </c>
      <c r="G84">
        <v>32</v>
      </c>
      <c r="H84" t="s">
        <v>325</v>
      </c>
      <c r="I84">
        <v>0.65727376937866211</v>
      </c>
      <c r="J84">
        <v>0.48997864127159119</v>
      </c>
      <c r="K84">
        <v>1</v>
      </c>
      <c r="L84">
        <v>5000000</v>
      </c>
      <c r="M84">
        <v>5000000</v>
      </c>
      <c r="O84" t="s">
        <v>86</v>
      </c>
      <c r="P84">
        <v>1</v>
      </c>
      <c r="Q84">
        <v>1000000</v>
      </c>
      <c r="R84">
        <v>1000000</v>
      </c>
      <c r="S84">
        <f t="shared" si="13"/>
        <v>0</v>
      </c>
      <c r="T84">
        <f t="shared" si="9"/>
        <v>1</v>
      </c>
      <c r="U84">
        <f t="shared" si="1"/>
        <v>0</v>
      </c>
      <c r="V84">
        <v>0</v>
      </c>
      <c r="W84">
        <f t="shared" si="2"/>
        <v>0</v>
      </c>
      <c r="X84">
        <f t="shared" si="3"/>
        <v>0</v>
      </c>
      <c r="Y84">
        <f t="shared" si="4"/>
        <v>0</v>
      </c>
      <c r="Z84">
        <f t="shared" si="5"/>
        <v>0</v>
      </c>
      <c r="AA84">
        <f t="shared" si="10"/>
        <v>0</v>
      </c>
      <c r="AB84">
        <f t="shared" si="11"/>
        <v>0</v>
      </c>
      <c r="AC84">
        <f t="shared" si="12"/>
        <v>0</v>
      </c>
      <c r="AD84">
        <f t="shared" si="6"/>
        <v>0</v>
      </c>
      <c r="AE84">
        <f t="shared" si="7"/>
        <v>0</v>
      </c>
      <c r="AF84">
        <f t="shared" si="14"/>
        <v>5000000</v>
      </c>
    </row>
    <row r="85" spans="1:32" x14ac:dyDescent="0.35">
      <c r="A85" s="1">
        <v>0</v>
      </c>
      <c r="B85" t="s">
        <v>221</v>
      </c>
      <c r="C85" t="s">
        <v>222</v>
      </c>
      <c r="D85" t="s">
        <v>39</v>
      </c>
      <c r="E85" t="s">
        <v>39</v>
      </c>
      <c r="F85" t="s">
        <v>149</v>
      </c>
      <c r="G85">
        <v>40</v>
      </c>
      <c r="H85" t="s">
        <v>223</v>
      </c>
      <c r="I85">
        <v>1.155468225479126</v>
      </c>
      <c r="J85">
        <v>0.48882424831390381</v>
      </c>
      <c r="K85">
        <v>1</v>
      </c>
      <c r="L85">
        <v>8000000</v>
      </c>
      <c r="M85">
        <v>8000000</v>
      </c>
      <c r="O85" t="s">
        <v>104</v>
      </c>
      <c r="P85">
        <v>1</v>
      </c>
      <c r="Q85">
        <v>6000000</v>
      </c>
      <c r="R85">
        <v>6000000</v>
      </c>
      <c r="S85">
        <f t="shared" si="13"/>
        <v>0</v>
      </c>
      <c r="T85">
        <f t="shared" si="9"/>
        <v>0</v>
      </c>
      <c r="U85">
        <f t="shared" si="1"/>
        <v>0</v>
      </c>
      <c r="V85">
        <v>0</v>
      </c>
      <c r="W85">
        <f t="shared" si="2"/>
        <v>1</v>
      </c>
      <c r="X85">
        <f t="shared" si="3"/>
        <v>0</v>
      </c>
      <c r="Y85">
        <f t="shared" si="4"/>
        <v>0</v>
      </c>
      <c r="Z85">
        <f t="shared" si="5"/>
        <v>0</v>
      </c>
      <c r="AA85">
        <f t="shared" si="10"/>
        <v>0</v>
      </c>
      <c r="AB85">
        <f t="shared" si="11"/>
        <v>0</v>
      </c>
      <c r="AC85">
        <f t="shared" si="12"/>
        <v>0</v>
      </c>
      <c r="AD85">
        <f t="shared" si="6"/>
        <v>0</v>
      </c>
      <c r="AE85">
        <f t="shared" si="7"/>
        <v>1</v>
      </c>
      <c r="AF85">
        <f t="shared" si="14"/>
        <v>8000000</v>
      </c>
    </row>
    <row r="86" spans="1:32" x14ac:dyDescent="0.35">
      <c r="A86" s="1">
        <v>0</v>
      </c>
      <c r="B86" t="s">
        <v>280</v>
      </c>
      <c r="C86" t="s">
        <v>10</v>
      </c>
      <c r="D86" t="s">
        <v>39</v>
      </c>
      <c r="E86" t="s">
        <v>39</v>
      </c>
      <c r="F86" t="s">
        <v>70</v>
      </c>
      <c r="G86">
        <v>32</v>
      </c>
      <c r="H86" t="s">
        <v>281</v>
      </c>
      <c r="I86">
        <v>0.84156197309494019</v>
      </c>
      <c r="J86">
        <v>0.48005053400993347</v>
      </c>
      <c r="K86">
        <v>1</v>
      </c>
      <c r="L86">
        <v>6000000</v>
      </c>
      <c r="M86">
        <v>6000000</v>
      </c>
      <c r="O86" t="s">
        <v>102</v>
      </c>
      <c r="P86">
        <v>1</v>
      </c>
      <c r="Q86">
        <v>4500000</v>
      </c>
      <c r="R86">
        <v>4500000</v>
      </c>
      <c r="S86">
        <f t="shared" si="13"/>
        <v>0</v>
      </c>
      <c r="T86">
        <f t="shared" si="9"/>
        <v>1</v>
      </c>
      <c r="U86">
        <f t="shared" si="1"/>
        <v>0</v>
      </c>
      <c r="V86">
        <v>0</v>
      </c>
      <c r="W86">
        <f t="shared" si="2"/>
        <v>0</v>
      </c>
      <c r="X86">
        <f t="shared" si="3"/>
        <v>0</v>
      </c>
      <c r="Y86">
        <f t="shared" si="4"/>
        <v>0</v>
      </c>
      <c r="Z86">
        <f t="shared" si="5"/>
        <v>0</v>
      </c>
      <c r="AA86">
        <f t="shared" si="10"/>
        <v>0</v>
      </c>
      <c r="AB86">
        <f t="shared" si="11"/>
        <v>0</v>
      </c>
      <c r="AC86">
        <f t="shared" si="12"/>
        <v>0</v>
      </c>
      <c r="AD86">
        <f t="shared" si="6"/>
        <v>0</v>
      </c>
      <c r="AE86">
        <f t="shared" si="7"/>
        <v>0</v>
      </c>
      <c r="AF86">
        <f t="shared" si="14"/>
        <v>6000000</v>
      </c>
    </row>
    <row r="87" spans="1:32" x14ac:dyDescent="0.35">
      <c r="A87" s="1">
        <v>0</v>
      </c>
      <c r="B87" t="s">
        <v>609</v>
      </c>
      <c r="C87" t="s">
        <v>191</v>
      </c>
      <c r="D87" t="s">
        <v>39</v>
      </c>
      <c r="E87" t="s">
        <v>39</v>
      </c>
      <c r="F87" t="s">
        <v>81</v>
      </c>
      <c r="G87">
        <v>37</v>
      </c>
      <c r="H87" t="s">
        <v>278</v>
      </c>
      <c r="I87">
        <v>-6.2733389437198639E-2</v>
      </c>
      <c r="J87">
        <v>0.47512528300285339</v>
      </c>
      <c r="K87">
        <v>1</v>
      </c>
      <c r="L87">
        <v>3000000</v>
      </c>
      <c r="M87">
        <v>3000000</v>
      </c>
      <c r="O87" t="s">
        <v>125</v>
      </c>
      <c r="P87">
        <v>1</v>
      </c>
      <c r="Q87">
        <v>4025000</v>
      </c>
      <c r="R87">
        <v>4025000</v>
      </c>
      <c r="S87">
        <f t="shared" si="13"/>
        <v>0</v>
      </c>
      <c r="T87">
        <f t="shared" si="9"/>
        <v>0</v>
      </c>
      <c r="U87">
        <f t="shared" ref="U87:U150" si="15">IF(ISNUMBER(SEARCH("RP", $C87)), 1, 0)</f>
        <v>0</v>
      </c>
      <c r="V87">
        <v>0</v>
      </c>
      <c r="W87">
        <f t="shared" ref="W87:W150" si="16">IF(ISNUMBER(SEARCH("1B", $C87)), 1, 0)</f>
        <v>0</v>
      </c>
      <c r="X87">
        <f t="shared" ref="X87:X150" si="17">IF(ISNUMBER(SEARCH("2B", $C87)), 1, 0)</f>
        <v>0</v>
      </c>
      <c r="Y87">
        <f t="shared" ref="Y87:Y150" si="18">IF(ISNUMBER(SEARCH("SS", $C87)), 1, 0)</f>
        <v>0</v>
      </c>
      <c r="Z87">
        <f t="shared" ref="Z87:Z150" si="19">IF(ISNUMBER(SEARCH("3B", $C87)), 1, 0)</f>
        <v>0</v>
      </c>
      <c r="AA87">
        <f t="shared" si="10"/>
        <v>1</v>
      </c>
      <c r="AB87">
        <f t="shared" si="11"/>
        <v>0</v>
      </c>
      <c r="AC87">
        <f t="shared" si="12"/>
        <v>1</v>
      </c>
      <c r="AD87">
        <f t="shared" ref="AD87:AD150" si="20">IF(ISNUMBER(SEARCH("OF", $C87)), 1, 0)</f>
        <v>0</v>
      </c>
      <c r="AE87">
        <f t="shared" ref="AE87:AE150" si="21">IF(ISNUMBER(SEARCH("DH", $C87)), 1, 0)</f>
        <v>1</v>
      </c>
      <c r="AF87">
        <f t="shared" si="14"/>
        <v>3000000</v>
      </c>
    </row>
    <row r="88" spans="1:32" x14ac:dyDescent="0.35">
      <c r="A88" s="1">
        <v>0</v>
      </c>
      <c r="B88" t="s">
        <v>276</v>
      </c>
      <c r="C88" t="s">
        <v>277</v>
      </c>
      <c r="D88" t="s">
        <v>39</v>
      </c>
      <c r="E88" t="s">
        <v>39</v>
      </c>
      <c r="F88" t="s">
        <v>42</v>
      </c>
      <c r="G88">
        <v>36</v>
      </c>
      <c r="H88" t="s">
        <v>278</v>
      </c>
      <c r="I88">
        <v>0.84329807758331299</v>
      </c>
      <c r="J88">
        <v>0.46673786640167236</v>
      </c>
      <c r="K88">
        <v>1</v>
      </c>
      <c r="L88">
        <v>8000000</v>
      </c>
      <c r="M88">
        <v>8000000</v>
      </c>
      <c r="O88" t="s">
        <v>81</v>
      </c>
      <c r="P88">
        <v>1</v>
      </c>
      <c r="Q88">
        <v>1400000</v>
      </c>
      <c r="R88">
        <v>1400000</v>
      </c>
      <c r="S88">
        <f t="shared" si="13"/>
        <v>0</v>
      </c>
      <c r="T88">
        <f t="shared" ref="T88:T151" si="22">IF(ISNUMBER(SEARCH("SP", $C88)), 1, 0)</f>
        <v>0</v>
      </c>
      <c r="U88">
        <f t="shared" si="15"/>
        <v>0</v>
      </c>
      <c r="V88">
        <v>0</v>
      </c>
      <c r="W88">
        <f t="shared" si="16"/>
        <v>1</v>
      </c>
      <c r="X88">
        <f t="shared" si="17"/>
        <v>0</v>
      </c>
      <c r="Y88">
        <f t="shared" si="18"/>
        <v>0</v>
      </c>
      <c r="Z88">
        <f t="shared" si="19"/>
        <v>0</v>
      </c>
      <c r="AA88">
        <f t="shared" ref="AA88:AA151" si="23">IF($AD88=1, 1, IF(ISNUMBER(SEARCH("LF", $C88)), 1, 0))</f>
        <v>1</v>
      </c>
      <c r="AB88">
        <f t="shared" ref="AB88:AB151" si="24">IF($AD88=1, 1, IF(ISNUMBER(SEARCH("CF", $C88)), 1, 0))</f>
        <v>0</v>
      </c>
      <c r="AC88">
        <f t="shared" ref="AC88:AC151" si="25">IF($AD88=1, 1, IF(ISNUMBER(SEARCH("RF", $C88)), 1, 0))</f>
        <v>1</v>
      </c>
      <c r="AD88">
        <f t="shared" si="20"/>
        <v>0</v>
      </c>
      <c r="AE88">
        <f t="shared" si="21"/>
        <v>0</v>
      </c>
      <c r="AF88">
        <f t="shared" si="14"/>
        <v>8000000</v>
      </c>
    </row>
    <row r="89" spans="1:32" x14ac:dyDescent="0.35">
      <c r="A89" s="1">
        <v>0</v>
      </c>
      <c r="B89" t="s">
        <v>650</v>
      </c>
      <c r="C89" t="s">
        <v>273</v>
      </c>
      <c r="D89" t="s">
        <v>39</v>
      </c>
      <c r="E89" t="s">
        <v>39</v>
      </c>
      <c r="F89" t="s">
        <v>56</v>
      </c>
      <c r="G89">
        <v>32</v>
      </c>
      <c r="H89" t="s">
        <v>651</v>
      </c>
      <c r="I89">
        <v>-0.17791733145713806</v>
      </c>
      <c r="J89">
        <v>0.4653795063495636</v>
      </c>
      <c r="K89">
        <v>1</v>
      </c>
      <c r="L89">
        <v>4000000</v>
      </c>
      <c r="M89">
        <v>4000000</v>
      </c>
      <c r="O89" t="s">
        <v>151</v>
      </c>
      <c r="P89">
        <v>1</v>
      </c>
      <c r="Q89">
        <v>1750000</v>
      </c>
      <c r="R89">
        <v>1750000</v>
      </c>
      <c r="S89">
        <f t="shared" si="13"/>
        <v>0</v>
      </c>
      <c r="T89">
        <f t="shared" si="22"/>
        <v>0</v>
      </c>
      <c r="U89">
        <f t="shared" si="15"/>
        <v>0</v>
      </c>
      <c r="V89">
        <v>0</v>
      </c>
      <c r="W89">
        <f t="shared" si="16"/>
        <v>0</v>
      </c>
      <c r="X89">
        <f t="shared" si="17"/>
        <v>0</v>
      </c>
      <c r="Y89">
        <f t="shared" si="18"/>
        <v>0</v>
      </c>
      <c r="Z89">
        <f t="shared" si="19"/>
        <v>0</v>
      </c>
      <c r="AA89">
        <f t="shared" si="23"/>
        <v>1</v>
      </c>
      <c r="AB89">
        <f t="shared" si="24"/>
        <v>1</v>
      </c>
      <c r="AC89">
        <f t="shared" si="25"/>
        <v>1</v>
      </c>
      <c r="AD89">
        <f t="shared" si="20"/>
        <v>0</v>
      </c>
      <c r="AE89">
        <f t="shared" si="21"/>
        <v>0</v>
      </c>
      <c r="AF89">
        <f t="shared" si="14"/>
        <v>4000000</v>
      </c>
    </row>
    <row r="90" spans="1:32" x14ac:dyDescent="0.35">
      <c r="A90" s="1">
        <v>1</v>
      </c>
      <c r="B90" t="s">
        <v>292</v>
      </c>
      <c r="C90" t="s">
        <v>293</v>
      </c>
      <c r="D90" t="s">
        <v>39</v>
      </c>
      <c r="E90" t="s">
        <v>39</v>
      </c>
      <c r="F90" t="s">
        <v>46</v>
      </c>
      <c r="G90">
        <v>37</v>
      </c>
      <c r="H90" t="s">
        <v>294</v>
      </c>
      <c r="I90">
        <v>0.77848356962203979</v>
      </c>
      <c r="J90">
        <v>0.44243860244750977</v>
      </c>
      <c r="L90">
        <v>0</v>
      </c>
      <c r="O90" t="s">
        <v>149</v>
      </c>
      <c r="P90">
        <v>1</v>
      </c>
      <c r="Q90">
        <v>3500000</v>
      </c>
      <c r="R90">
        <v>3500000</v>
      </c>
      <c r="S90">
        <f t="shared" si="13"/>
        <v>0</v>
      </c>
      <c r="T90">
        <f t="shared" si="22"/>
        <v>0</v>
      </c>
      <c r="U90">
        <f t="shared" si="15"/>
        <v>0</v>
      </c>
      <c r="V90">
        <v>0</v>
      </c>
      <c r="W90">
        <f t="shared" si="16"/>
        <v>1</v>
      </c>
      <c r="X90">
        <f t="shared" si="17"/>
        <v>0</v>
      </c>
      <c r="Y90">
        <f t="shared" si="18"/>
        <v>0</v>
      </c>
      <c r="Z90">
        <f t="shared" si="19"/>
        <v>1</v>
      </c>
      <c r="AA90">
        <f t="shared" si="23"/>
        <v>0</v>
      </c>
      <c r="AB90">
        <f t="shared" si="24"/>
        <v>0</v>
      </c>
      <c r="AC90">
        <f t="shared" si="25"/>
        <v>0</v>
      </c>
      <c r="AD90">
        <f t="shared" si="20"/>
        <v>0</v>
      </c>
      <c r="AE90">
        <f t="shared" si="21"/>
        <v>1</v>
      </c>
      <c r="AF90">
        <f t="shared" si="14"/>
        <v>3500000</v>
      </c>
    </row>
    <row r="91" spans="1:32" x14ac:dyDescent="0.35">
      <c r="A91" s="1">
        <v>0</v>
      </c>
      <c r="B91" t="s">
        <v>187</v>
      </c>
      <c r="C91" t="s">
        <v>9</v>
      </c>
      <c r="D91" t="s">
        <v>45</v>
      </c>
      <c r="E91" t="s">
        <v>39</v>
      </c>
      <c r="F91" t="s">
        <v>53</v>
      </c>
      <c r="G91">
        <v>37</v>
      </c>
      <c r="H91" t="s">
        <v>188</v>
      </c>
      <c r="I91">
        <v>1.4145267009735107</v>
      </c>
      <c r="J91">
        <v>0.440388023853302</v>
      </c>
      <c r="K91">
        <v>1</v>
      </c>
      <c r="L91">
        <v>12000000</v>
      </c>
      <c r="M91">
        <v>12000000</v>
      </c>
      <c r="O91" t="s">
        <v>62</v>
      </c>
      <c r="P91">
        <v>1</v>
      </c>
      <c r="Q91">
        <v>10000000</v>
      </c>
      <c r="R91">
        <v>10000000</v>
      </c>
      <c r="S91">
        <f t="shared" si="13"/>
        <v>0</v>
      </c>
      <c r="T91">
        <f t="shared" si="22"/>
        <v>0</v>
      </c>
      <c r="U91">
        <f t="shared" si="15"/>
        <v>1</v>
      </c>
      <c r="V91">
        <v>0</v>
      </c>
      <c r="W91">
        <f t="shared" si="16"/>
        <v>0</v>
      </c>
      <c r="X91">
        <f t="shared" si="17"/>
        <v>0</v>
      </c>
      <c r="Y91">
        <f t="shared" si="18"/>
        <v>0</v>
      </c>
      <c r="Z91">
        <f t="shared" si="19"/>
        <v>0</v>
      </c>
      <c r="AA91">
        <f t="shared" si="23"/>
        <v>0</v>
      </c>
      <c r="AB91">
        <f t="shared" si="24"/>
        <v>0</v>
      </c>
      <c r="AC91">
        <f t="shared" si="25"/>
        <v>0</v>
      </c>
      <c r="AD91">
        <f t="shared" si="20"/>
        <v>0</v>
      </c>
      <c r="AE91">
        <f t="shared" si="21"/>
        <v>0</v>
      </c>
      <c r="AF91">
        <f t="shared" si="14"/>
        <v>12000000</v>
      </c>
    </row>
    <row r="92" spans="1:32" x14ac:dyDescent="0.35">
      <c r="A92" s="1">
        <v>0</v>
      </c>
      <c r="B92" t="s">
        <v>283</v>
      </c>
      <c r="C92" t="s">
        <v>65</v>
      </c>
      <c r="D92" t="s">
        <v>33</v>
      </c>
      <c r="E92" t="s">
        <v>33</v>
      </c>
      <c r="F92" t="s">
        <v>51</v>
      </c>
      <c r="G92">
        <v>35</v>
      </c>
      <c r="H92" t="s">
        <v>284</v>
      </c>
      <c r="I92">
        <v>0.83742117881774902</v>
      </c>
      <c r="J92">
        <v>0.43120884895324707</v>
      </c>
      <c r="K92">
        <v>1</v>
      </c>
      <c r="L92">
        <v>6000000</v>
      </c>
      <c r="M92">
        <v>6000000</v>
      </c>
      <c r="O92" t="s">
        <v>46</v>
      </c>
      <c r="P92">
        <v>1</v>
      </c>
      <c r="Q92">
        <v>1000000</v>
      </c>
      <c r="R92">
        <v>1000000</v>
      </c>
      <c r="S92">
        <f t="shared" si="13"/>
        <v>0</v>
      </c>
      <c r="T92">
        <f t="shared" si="22"/>
        <v>0</v>
      </c>
      <c r="U92">
        <f t="shared" si="15"/>
        <v>0</v>
      </c>
      <c r="V92">
        <v>0</v>
      </c>
      <c r="W92">
        <f t="shared" si="16"/>
        <v>0</v>
      </c>
      <c r="X92">
        <f t="shared" si="17"/>
        <v>0</v>
      </c>
      <c r="Y92">
        <f t="shared" si="18"/>
        <v>0</v>
      </c>
      <c r="Z92">
        <f t="shared" si="19"/>
        <v>0</v>
      </c>
      <c r="AA92">
        <f t="shared" si="23"/>
        <v>1</v>
      </c>
      <c r="AB92">
        <f t="shared" si="24"/>
        <v>0</v>
      </c>
      <c r="AC92">
        <f t="shared" si="25"/>
        <v>1</v>
      </c>
      <c r="AD92">
        <f t="shared" si="20"/>
        <v>0</v>
      </c>
      <c r="AE92">
        <f t="shared" si="21"/>
        <v>0</v>
      </c>
      <c r="AF92">
        <f t="shared" si="14"/>
        <v>6000000</v>
      </c>
    </row>
    <row r="93" spans="1:32" x14ac:dyDescent="0.35">
      <c r="A93" s="1">
        <v>0</v>
      </c>
      <c r="B93" t="s">
        <v>508</v>
      </c>
      <c r="C93" t="s">
        <v>116</v>
      </c>
      <c r="D93" t="s">
        <v>39</v>
      </c>
      <c r="E93" t="s">
        <v>39</v>
      </c>
      <c r="F93" t="s">
        <v>134</v>
      </c>
      <c r="G93">
        <v>29</v>
      </c>
      <c r="H93" t="s">
        <v>290</v>
      </c>
      <c r="I93">
        <v>0.16543266177177429</v>
      </c>
      <c r="J93">
        <v>0.42910003662109375</v>
      </c>
      <c r="L93">
        <v>0</v>
      </c>
      <c r="O93" t="s">
        <v>70</v>
      </c>
      <c r="P93">
        <v>1</v>
      </c>
      <c r="Q93">
        <v>5000000</v>
      </c>
      <c r="R93">
        <v>5000000</v>
      </c>
      <c r="S93">
        <f t="shared" si="13"/>
        <v>0</v>
      </c>
      <c r="T93">
        <f t="shared" si="22"/>
        <v>0</v>
      </c>
      <c r="U93">
        <f t="shared" si="15"/>
        <v>0</v>
      </c>
      <c r="V93">
        <v>0</v>
      </c>
      <c r="W93">
        <f t="shared" si="16"/>
        <v>0</v>
      </c>
      <c r="X93">
        <f t="shared" si="17"/>
        <v>0</v>
      </c>
      <c r="Y93">
        <f t="shared" si="18"/>
        <v>0</v>
      </c>
      <c r="Z93">
        <f t="shared" si="19"/>
        <v>0</v>
      </c>
      <c r="AA93">
        <f t="shared" si="23"/>
        <v>1</v>
      </c>
      <c r="AB93">
        <f t="shared" si="24"/>
        <v>1</v>
      </c>
      <c r="AC93">
        <f t="shared" si="25"/>
        <v>1</v>
      </c>
      <c r="AD93">
        <f t="shared" si="20"/>
        <v>0</v>
      </c>
      <c r="AE93">
        <f t="shared" si="21"/>
        <v>0</v>
      </c>
      <c r="AF93">
        <f t="shared" si="14"/>
        <v>5000000</v>
      </c>
    </row>
    <row r="94" spans="1:32" x14ac:dyDescent="0.35">
      <c r="A94" s="1">
        <v>0</v>
      </c>
      <c r="B94" t="s">
        <v>456</v>
      </c>
      <c r="C94" t="s">
        <v>9</v>
      </c>
      <c r="D94" t="s">
        <v>39</v>
      </c>
      <c r="E94" t="s">
        <v>33</v>
      </c>
      <c r="F94" t="s">
        <v>51</v>
      </c>
      <c r="G94">
        <v>28</v>
      </c>
      <c r="H94" t="s">
        <v>457</v>
      </c>
      <c r="I94">
        <v>0.27226126194000244</v>
      </c>
      <c r="J94">
        <v>0.41508489847183228</v>
      </c>
      <c r="K94">
        <v>1</v>
      </c>
      <c r="L94">
        <v>3000000</v>
      </c>
      <c r="M94">
        <v>3000000</v>
      </c>
      <c r="O94" t="s">
        <v>125</v>
      </c>
      <c r="P94">
        <v>1</v>
      </c>
      <c r="Q94">
        <v>3000000</v>
      </c>
      <c r="R94">
        <v>3000000</v>
      </c>
      <c r="S94">
        <f t="shared" si="13"/>
        <v>0</v>
      </c>
      <c r="T94">
        <f t="shared" si="22"/>
        <v>0</v>
      </c>
      <c r="U94">
        <f t="shared" si="15"/>
        <v>1</v>
      </c>
      <c r="V94">
        <v>0</v>
      </c>
      <c r="W94">
        <f t="shared" si="16"/>
        <v>0</v>
      </c>
      <c r="X94">
        <f t="shared" si="17"/>
        <v>0</v>
      </c>
      <c r="Y94">
        <f t="shared" si="18"/>
        <v>0</v>
      </c>
      <c r="Z94">
        <f t="shared" si="19"/>
        <v>0</v>
      </c>
      <c r="AA94">
        <f t="shared" si="23"/>
        <v>0</v>
      </c>
      <c r="AB94">
        <f t="shared" si="24"/>
        <v>0</v>
      </c>
      <c r="AC94">
        <f t="shared" si="25"/>
        <v>0</v>
      </c>
      <c r="AD94">
        <f t="shared" si="20"/>
        <v>0</v>
      </c>
      <c r="AE94">
        <f t="shared" si="21"/>
        <v>0</v>
      </c>
      <c r="AF94">
        <f t="shared" si="14"/>
        <v>3000000</v>
      </c>
    </row>
    <row r="95" spans="1:32" x14ac:dyDescent="0.35">
      <c r="A95" s="1">
        <v>0</v>
      </c>
      <c r="B95" t="s">
        <v>144</v>
      </c>
      <c r="C95" t="s">
        <v>9</v>
      </c>
      <c r="D95" t="s">
        <v>33</v>
      </c>
      <c r="E95" t="s">
        <v>39</v>
      </c>
      <c r="F95" t="s">
        <v>97</v>
      </c>
      <c r="G95">
        <v>38</v>
      </c>
      <c r="H95" t="s">
        <v>145</v>
      </c>
      <c r="I95">
        <v>1.8954391479492188</v>
      </c>
      <c r="J95">
        <v>0.41145837306976318</v>
      </c>
      <c r="K95">
        <v>1</v>
      </c>
      <c r="L95">
        <v>9000000</v>
      </c>
      <c r="M95">
        <v>9000000</v>
      </c>
      <c r="O95" t="s">
        <v>66</v>
      </c>
      <c r="P95">
        <v>1</v>
      </c>
      <c r="Q95">
        <v>13000000</v>
      </c>
      <c r="R95">
        <v>13000000</v>
      </c>
      <c r="S95">
        <f t="shared" si="13"/>
        <v>0</v>
      </c>
      <c r="T95">
        <f t="shared" si="22"/>
        <v>0</v>
      </c>
      <c r="U95">
        <f t="shared" si="15"/>
        <v>1</v>
      </c>
      <c r="V95">
        <v>0</v>
      </c>
      <c r="W95">
        <f t="shared" si="16"/>
        <v>0</v>
      </c>
      <c r="X95">
        <f t="shared" si="17"/>
        <v>0</v>
      </c>
      <c r="Y95">
        <f t="shared" si="18"/>
        <v>0</v>
      </c>
      <c r="Z95">
        <f t="shared" si="19"/>
        <v>0</v>
      </c>
      <c r="AA95">
        <f t="shared" si="23"/>
        <v>0</v>
      </c>
      <c r="AB95">
        <f t="shared" si="24"/>
        <v>0</v>
      </c>
      <c r="AC95">
        <f t="shared" si="25"/>
        <v>0</v>
      </c>
      <c r="AD95">
        <f t="shared" si="20"/>
        <v>0</v>
      </c>
      <c r="AE95">
        <f t="shared" si="21"/>
        <v>0</v>
      </c>
      <c r="AF95">
        <f t="shared" si="14"/>
        <v>9000000</v>
      </c>
    </row>
    <row r="96" spans="1:32" x14ac:dyDescent="0.35">
      <c r="A96" s="1">
        <v>0</v>
      </c>
      <c r="B96" t="s">
        <v>496</v>
      </c>
      <c r="C96" t="s">
        <v>9</v>
      </c>
      <c r="D96" t="s">
        <v>39</v>
      </c>
      <c r="E96" t="s">
        <v>33</v>
      </c>
      <c r="F96" t="s">
        <v>100</v>
      </c>
      <c r="G96">
        <v>38</v>
      </c>
      <c r="H96" t="s">
        <v>497</v>
      </c>
      <c r="I96">
        <v>0.19309237599372864</v>
      </c>
      <c r="J96">
        <v>0.39941444993019104</v>
      </c>
      <c r="K96">
        <v>1</v>
      </c>
      <c r="L96">
        <v>3000000</v>
      </c>
      <c r="M96">
        <v>3000000</v>
      </c>
      <c r="O96" t="s">
        <v>104</v>
      </c>
      <c r="P96">
        <v>1</v>
      </c>
      <c r="Q96">
        <v>2750000</v>
      </c>
      <c r="R96">
        <v>2750000</v>
      </c>
      <c r="S96">
        <f t="shared" si="13"/>
        <v>0</v>
      </c>
      <c r="T96">
        <f t="shared" si="22"/>
        <v>0</v>
      </c>
      <c r="U96">
        <f t="shared" si="15"/>
        <v>1</v>
      </c>
      <c r="V96">
        <v>0</v>
      </c>
      <c r="W96">
        <f t="shared" si="16"/>
        <v>0</v>
      </c>
      <c r="X96">
        <f t="shared" si="17"/>
        <v>0</v>
      </c>
      <c r="Y96">
        <f t="shared" si="18"/>
        <v>0</v>
      </c>
      <c r="Z96">
        <f t="shared" si="19"/>
        <v>0</v>
      </c>
      <c r="AA96">
        <f t="shared" si="23"/>
        <v>0</v>
      </c>
      <c r="AB96">
        <f t="shared" si="24"/>
        <v>0</v>
      </c>
      <c r="AC96">
        <f t="shared" si="25"/>
        <v>0</v>
      </c>
      <c r="AD96">
        <f t="shared" si="20"/>
        <v>0</v>
      </c>
      <c r="AE96">
        <f t="shared" si="21"/>
        <v>0</v>
      </c>
      <c r="AF96">
        <f t="shared" si="14"/>
        <v>3000000</v>
      </c>
    </row>
    <row r="97" spans="1:32" x14ac:dyDescent="0.35">
      <c r="A97" s="1">
        <v>0</v>
      </c>
      <c r="B97" t="s">
        <v>272</v>
      </c>
      <c r="C97" t="s">
        <v>273</v>
      </c>
      <c r="D97" t="s">
        <v>39</v>
      </c>
      <c r="E97" t="s">
        <v>39</v>
      </c>
      <c r="F97" t="s">
        <v>48</v>
      </c>
      <c r="G97">
        <v>30</v>
      </c>
      <c r="H97" t="s">
        <v>274</v>
      </c>
      <c r="I97">
        <v>0.8853071928024292</v>
      </c>
      <c r="J97">
        <v>0.39796406030654913</v>
      </c>
      <c r="L97">
        <v>0</v>
      </c>
      <c r="O97" t="s">
        <v>56</v>
      </c>
      <c r="P97">
        <v>1</v>
      </c>
      <c r="Q97">
        <v>4000000</v>
      </c>
      <c r="R97">
        <v>4000000</v>
      </c>
      <c r="S97">
        <f t="shared" si="13"/>
        <v>0</v>
      </c>
      <c r="T97">
        <f t="shared" si="22"/>
        <v>0</v>
      </c>
      <c r="U97">
        <f t="shared" si="15"/>
        <v>0</v>
      </c>
      <c r="V97">
        <v>0</v>
      </c>
      <c r="W97">
        <f t="shared" si="16"/>
        <v>0</v>
      </c>
      <c r="X97">
        <f t="shared" si="17"/>
        <v>0</v>
      </c>
      <c r="Y97">
        <f t="shared" si="18"/>
        <v>0</v>
      </c>
      <c r="Z97">
        <f t="shared" si="19"/>
        <v>0</v>
      </c>
      <c r="AA97">
        <f t="shared" si="23"/>
        <v>1</v>
      </c>
      <c r="AB97">
        <f t="shared" si="24"/>
        <v>1</v>
      </c>
      <c r="AC97">
        <f t="shared" si="25"/>
        <v>1</v>
      </c>
      <c r="AD97">
        <f t="shared" si="20"/>
        <v>0</v>
      </c>
      <c r="AE97">
        <f t="shared" si="21"/>
        <v>0</v>
      </c>
      <c r="AF97">
        <f t="shared" si="14"/>
        <v>4000000</v>
      </c>
    </row>
    <row r="98" spans="1:32" x14ac:dyDescent="0.35">
      <c r="A98" s="1">
        <v>0</v>
      </c>
      <c r="B98" t="s">
        <v>673</v>
      </c>
      <c r="C98" t="s">
        <v>116</v>
      </c>
      <c r="D98" t="s">
        <v>39</v>
      </c>
      <c r="E98" t="s">
        <v>39</v>
      </c>
      <c r="F98" t="s">
        <v>100</v>
      </c>
      <c r="G98">
        <v>30</v>
      </c>
      <c r="H98" t="s">
        <v>674</v>
      </c>
      <c r="I98">
        <v>-0.20828850567340851</v>
      </c>
      <c r="J98">
        <v>0.38682490587234497</v>
      </c>
      <c r="L98">
        <v>0</v>
      </c>
      <c r="O98" t="s">
        <v>78</v>
      </c>
      <c r="P98">
        <v>1</v>
      </c>
      <c r="Q98">
        <v>293548</v>
      </c>
      <c r="R98">
        <v>293548</v>
      </c>
      <c r="S98">
        <f t="shared" si="13"/>
        <v>0</v>
      </c>
      <c r="T98">
        <f t="shared" si="22"/>
        <v>0</v>
      </c>
      <c r="U98">
        <f t="shared" si="15"/>
        <v>0</v>
      </c>
      <c r="V98">
        <v>0</v>
      </c>
      <c r="W98">
        <f t="shared" si="16"/>
        <v>0</v>
      </c>
      <c r="X98">
        <f t="shared" si="17"/>
        <v>0</v>
      </c>
      <c r="Y98">
        <f t="shared" si="18"/>
        <v>0</v>
      </c>
      <c r="Z98">
        <f t="shared" si="19"/>
        <v>0</v>
      </c>
      <c r="AA98">
        <f t="shared" si="23"/>
        <v>1</v>
      </c>
      <c r="AB98">
        <f t="shared" si="24"/>
        <v>1</v>
      </c>
      <c r="AC98">
        <f t="shared" si="25"/>
        <v>1</v>
      </c>
      <c r="AD98">
        <f t="shared" si="20"/>
        <v>0</v>
      </c>
      <c r="AE98">
        <f t="shared" si="21"/>
        <v>0</v>
      </c>
      <c r="AF98">
        <f t="shared" si="14"/>
        <v>293548</v>
      </c>
    </row>
    <row r="99" spans="1:32" x14ac:dyDescent="0.35">
      <c r="A99" s="1">
        <v>0</v>
      </c>
      <c r="B99" t="s">
        <v>387</v>
      </c>
      <c r="C99" t="s">
        <v>3</v>
      </c>
      <c r="D99" t="s">
        <v>39</v>
      </c>
      <c r="E99" t="s">
        <v>39</v>
      </c>
      <c r="F99" t="s">
        <v>46</v>
      </c>
      <c r="G99">
        <v>34</v>
      </c>
      <c r="H99" t="s">
        <v>388</v>
      </c>
      <c r="I99">
        <v>0.47663778066635132</v>
      </c>
      <c r="J99">
        <v>0.38507866859436035</v>
      </c>
      <c r="L99">
        <v>0</v>
      </c>
      <c r="O99" t="s">
        <v>46</v>
      </c>
      <c r="P99">
        <v>1</v>
      </c>
      <c r="Q99">
        <v>3500000</v>
      </c>
      <c r="R99">
        <v>3500000</v>
      </c>
      <c r="S99">
        <f t="shared" si="13"/>
        <v>0</v>
      </c>
      <c r="T99">
        <f t="shared" si="22"/>
        <v>0</v>
      </c>
      <c r="U99">
        <f t="shared" si="15"/>
        <v>0</v>
      </c>
      <c r="V99">
        <v>1</v>
      </c>
      <c r="W99">
        <f t="shared" si="16"/>
        <v>0</v>
      </c>
      <c r="X99">
        <f t="shared" si="17"/>
        <v>0</v>
      </c>
      <c r="Y99">
        <f t="shared" si="18"/>
        <v>0</v>
      </c>
      <c r="Z99">
        <f t="shared" si="19"/>
        <v>0</v>
      </c>
      <c r="AA99">
        <f t="shared" si="23"/>
        <v>0</v>
      </c>
      <c r="AB99">
        <f t="shared" si="24"/>
        <v>0</v>
      </c>
      <c r="AC99">
        <f t="shared" si="25"/>
        <v>0</v>
      </c>
      <c r="AD99">
        <f t="shared" si="20"/>
        <v>0</v>
      </c>
      <c r="AE99">
        <f t="shared" si="21"/>
        <v>0</v>
      </c>
      <c r="AF99">
        <f t="shared" si="14"/>
        <v>3500000</v>
      </c>
    </row>
    <row r="100" spans="1:32" x14ac:dyDescent="0.35">
      <c r="A100" s="1">
        <v>0</v>
      </c>
      <c r="B100" t="s">
        <v>289</v>
      </c>
      <c r="C100" t="s">
        <v>10</v>
      </c>
      <c r="D100" t="s">
        <v>39</v>
      </c>
      <c r="E100" t="s">
        <v>39</v>
      </c>
      <c r="F100" t="s">
        <v>40</v>
      </c>
      <c r="G100">
        <v>34</v>
      </c>
      <c r="H100" t="s">
        <v>290</v>
      </c>
      <c r="I100">
        <v>0.80433559417724609</v>
      </c>
      <c r="J100">
        <v>0.38284176588058472</v>
      </c>
      <c r="L100">
        <v>0</v>
      </c>
      <c r="O100" t="s">
        <v>104</v>
      </c>
      <c r="P100">
        <v>1</v>
      </c>
      <c r="Q100">
        <v>5000000</v>
      </c>
      <c r="R100">
        <v>5000000</v>
      </c>
      <c r="S100">
        <f t="shared" si="13"/>
        <v>0</v>
      </c>
      <c r="T100">
        <f t="shared" si="22"/>
        <v>1</v>
      </c>
      <c r="U100">
        <f t="shared" si="15"/>
        <v>0</v>
      </c>
      <c r="V100">
        <v>0</v>
      </c>
      <c r="W100">
        <f t="shared" si="16"/>
        <v>0</v>
      </c>
      <c r="X100">
        <f t="shared" si="17"/>
        <v>0</v>
      </c>
      <c r="Y100">
        <f t="shared" si="18"/>
        <v>0</v>
      </c>
      <c r="Z100">
        <f t="shared" si="19"/>
        <v>0</v>
      </c>
      <c r="AA100">
        <f t="shared" si="23"/>
        <v>0</v>
      </c>
      <c r="AB100">
        <f t="shared" si="24"/>
        <v>0</v>
      </c>
      <c r="AC100">
        <f t="shared" si="25"/>
        <v>0</v>
      </c>
      <c r="AD100">
        <f t="shared" si="20"/>
        <v>0</v>
      </c>
      <c r="AE100">
        <f t="shared" si="21"/>
        <v>0</v>
      </c>
      <c r="AF100">
        <f t="shared" si="14"/>
        <v>5000000</v>
      </c>
    </row>
    <row r="101" spans="1:32" x14ac:dyDescent="0.35">
      <c r="A101" s="1">
        <v>0</v>
      </c>
      <c r="B101" t="s">
        <v>633</v>
      </c>
      <c r="C101" t="s">
        <v>10</v>
      </c>
      <c r="D101" t="s">
        <v>33</v>
      </c>
      <c r="E101" t="s">
        <v>33</v>
      </c>
      <c r="F101" t="s">
        <v>40</v>
      </c>
      <c r="G101">
        <v>38</v>
      </c>
      <c r="H101" t="s">
        <v>634</v>
      </c>
      <c r="I101">
        <v>-0.11162987351417542</v>
      </c>
      <c r="J101">
        <v>0.37820380926132202</v>
      </c>
      <c r="L101">
        <v>0</v>
      </c>
      <c r="O101" t="s">
        <v>70</v>
      </c>
      <c r="P101">
        <v>1</v>
      </c>
      <c r="Q101">
        <v>1572581</v>
      </c>
      <c r="R101">
        <v>1572581</v>
      </c>
      <c r="S101">
        <f t="shared" si="13"/>
        <v>0</v>
      </c>
      <c r="T101">
        <f t="shared" si="22"/>
        <v>1</v>
      </c>
      <c r="U101">
        <f t="shared" si="15"/>
        <v>0</v>
      </c>
      <c r="V101">
        <v>0</v>
      </c>
      <c r="W101">
        <f t="shared" si="16"/>
        <v>0</v>
      </c>
      <c r="X101">
        <f t="shared" si="17"/>
        <v>0</v>
      </c>
      <c r="Y101">
        <f t="shared" si="18"/>
        <v>0</v>
      </c>
      <c r="Z101">
        <f t="shared" si="19"/>
        <v>0</v>
      </c>
      <c r="AA101">
        <f t="shared" si="23"/>
        <v>0</v>
      </c>
      <c r="AB101">
        <f t="shared" si="24"/>
        <v>0</v>
      </c>
      <c r="AC101">
        <f t="shared" si="25"/>
        <v>0</v>
      </c>
      <c r="AD101">
        <f t="shared" si="20"/>
        <v>0</v>
      </c>
      <c r="AE101">
        <f t="shared" si="21"/>
        <v>0</v>
      </c>
      <c r="AF101">
        <f t="shared" si="14"/>
        <v>1572581</v>
      </c>
    </row>
    <row r="102" spans="1:32" x14ac:dyDescent="0.35">
      <c r="A102" s="1">
        <v>0</v>
      </c>
      <c r="B102" t="s">
        <v>380</v>
      </c>
      <c r="C102" t="s">
        <v>381</v>
      </c>
      <c r="D102" t="s">
        <v>39</v>
      </c>
      <c r="E102" t="s">
        <v>39</v>
      </c>
      <c r="F102" t="s">
        <v>81</v>
      </c>
      <c r="G102">
        <v>30</v>
      </c>
      <c r="H102" t="s">
        <v>382</v>
      </c>
      <c r="I102">
        <v>0.48683470487594604</v>
      </c>
      <c r="J102">
        <v>8.0123461782932281E-2</v>
      </c>
      <c r="L102">
        <v>0</v>
      </c>
      <c r="O102" t="s">
        <v>58</v>
      </c>
      <c r="P102">
        <v>1</v>
      </c>
      <c r="Q102">
        <v>1500000</v>
      </c>
      <c r="R102">
        <v>1500000</v>
      </c>
      <c r="S102">
        <f t="shared" si="13"/>
        <v>0</v>
      </c>
      <c r="T102">
        <f t="shared" si="22"/>
        <v>0</v>
      </c>
      <c r="U102">
        <f t="shared" si="15"/>
        <v>0</v>
      </c>
      <c r="V102">
        <v>0</v>
      </c>
      <c r="W102">
        <f t="shared" si="16"/>
        <v>0</v>
      </c>
      <c r="X102">
        <f t="shared" si="17"/>
        <v>1</v>
      </c>
      <c r="Y102">
        <f t="shared" si="18"/>
        <v>1</v>
      </c>
      <c r="Z102">
        <f t="shared" si="19"/>
        <v>1</v>
      </c>
      <c r="AA102">
        <f t="shared" si="23"/>
        <v>1</v>
      </c>
      <c r="AB102">
        <f t="shared" si="24"/>
        <v>1</v>
      </c>
      <c r="AC102">
        <f t="shared" si="25"/>
        <v>1</v>
      </c>
      <c r="AD102">
        <f t="shared" si="20"/>
        <v>1</v>
      </c>
      <c r="AE102">
        <f t="shared" si="21"/>
        <v>0</v>
      </c>
      <c r="AF102">
        <f t="shared" si="14"/>
        <v>1500000</v>
      </c>
    </row>
    <row r="103" spans="1:32" x14ac:dyDescent="0.35">
      <c r="A103" s="1">
        <v>0</v>
      </c>
      <c r="B103" t="s">
        <v>340</v>
      </c>
      <c r="C103" t="s">
        <v>65</v>
      </c>
      <c r="D103" t="s">
        <v>33</v>
      </c>
      <c r="E103" t="s">
        <v>33</v>
      </c>
      <c r="F103" t="s">
        <v>34</v>
      </c>
      <c r="G103">
        <v>29</v>
      </c>
      <c r="H103" t="s">
        <v>341</v>
      </c>
      <c r="I103">
        <v>0.60074925422668457</v>
      </c>
      <c r="J103">
        <v>0.3627261221408844</v>
      </c>
      <c r="K103">
        <v>2</v>
      </c>
      <c r="L103">
        <v>16000000</v>
      </c>
      <c r="M103">
        <v>8000000</v>
      </c>
      <c r="O103" t="s">
        <v>48</v>
      </c>
      <c r="P103">
        <v>1</v>
      </c>
      <c r="Q103">
        <v>1500000</v>
      </c>
      <c r="R103">
        <v>1500000</v>
      </c>
      <c r="S103">
        <f t="shared" si="13"/>
        <v>0</v>
      </c>
      <c r="T103">
        <f t="shared" si="22"/>
        <v>0</v>
      </c>
      <c r="U103">
        <f t="shared" si="15"/>
        <v>0</v>
      </c>
      <c r="V103">
        <v>0</v>
      </c>
      <c r="W103">
        <f t="shared" si="16"/>
        <v>0</v>
      </c>
      <c r="X103">
        <f t="shared" si="17"/>
        <v>0</v>
      </c>
      <c r="Y103">
        <f t="shared" si="18"/>
        <v>0</v>
      </c>
      <c r="Z103">
        <f t="shared" si="19"/>
        <v>0</v>
      </c>
      <c r="AA103">
        <f t="shared" si="23"/>
        <v>1</v>
      </c>
      <c r="AB103">
        <f t="shared" si="24"/>
        <v>0</v>
      </c>
      <c r="AC103">
        <f t="shared" si="25"/>
        <v>1</v>
      </c>
      <c r="AD103">
        <f t="shared" si="20"/>
        <v>0</v>
      </c>
      <c r="AE103">
        <f t="shared" si="21"/>
        <v>0</v>
      </c>
      <c r="AF103">
        <f t="shared" si="14"/>
        <v>8000000</v>
      </c>
    </row>
    <row r="104" spans="1:32" x14ac:dyDescent="0.35">
      <c r="A104" s="1">
        <v>0</v>
      </c>
      <c r="B104" t="s">
        <v>516</v>
      </c>
      <c r="C104" t="s">
        <v>9</v>
      </c>
      <c r="D104" t="s">
        <v>39</v>
      </c>
      <c r="E104" t="s">
        <v>39</v>
      </c>
      <c r="F104" t="s">
        <v>34</v>
      </c>
      <c r="G104">
        <v>30</v>
      </c>
      <c r="H104" t="s">
        <v>517</v>
      </c>
      <c r="I104">
        <v>0.14712072908878326</v>
      </c>
      <c r="J104">
        <v>0.35956120491027832</v>
      </c>
      <c r="K104">
        <v>1</v>
      </c>
      <c r="L104">
        <v>3000000</v>
      </c>
      <c r="M104">
        <v>3000000</v>
      </c>
      <c r="O104" t="s">
        <v>34</v>
      </c>
      <c r="P104">
        <v>1</v>
      </c>
      <c r="Q104">
        <v>5000000</v>
      </c>
      <c r="R104">
        <v>5000000</v>
      </c>
      <c r="S104">
        <f t="shared" si="13"/>
        <v>0</v>
      </c>
      <c r="T104">
        <f t="shared" si="22"/>
        <v>0</v>
      </c>
      <c r="U104">
        <f t="shared" si="15"/>
        <v>1</v>
      </c>
      <c r="V104">
        <v>0</v>
      </c>
      <c r="W104">
        <f t="shared" si="16"/>
        <v>0</v>
      </c>
      <c r="X104">
        <f t="shared" si="17"/>
        <v>0</v>
      </c>
      <c r="Y104">
        <f t="shared" si="18"/>
        <v>0</v>
      </c>
      <c r="Z104">
        <f t="shared" si="19"/>
        <v>0</v>
      </c>
      <c r="AA104">
        <f t="shared" si="23"/>
        <v>0</v>
      </c>
      <c r="AB104">
        <f t="shared" si="24"/>
        <v>0</v>
      </c>
      <c r="AC104">
        <f t="shared" si="25"/>
        <v>0</v>
      </c>
      <c r="AD104">
        <f t="shared" si="20"/>
        <v>0</v>
      </c>
      <c r="AE104">
        <f t="shared" si="21"/>
        <v>0</v>
      </c>
      <c r="AF104">
        <f t="shared" si="14"/>
        <v>3000000</v>
      </c>
    </row>
    <row r="105" spans="1:32" x14ac:dyDescent="0.35">
      <c r="A105" s="1">
        <v>0</v>
      </c>
      <c r="B105" t="s">
        <v>266</v>
      </c>
      <c r="C105" t="s">
        <v>10</v>
      </c>
      <c r="D105" t="s">
        <v>39</v>
      </c>
      <c r="E105" t="s">
        <v>39</v>
      </c>
      <c r="F105" t="s">
        <v>40</v>
      </c>
      <c r="G105">
        <v>32</v>
      </c>
      <c r="H105" t="s">
        <v>267</v>
      </c>
      <c r="I105">
        <v>0.89216291904449463</v>
      </c>
      <c r="J105">
        <v>0.35128909349441528</v>
      </c>
      <c r="L105">
        <v>0</v>
      </c>
      <c r="O105" t="s">
        <v>134</v>
      </c>
      <c r="P105">
        <v>1</v>
      </c>
      <c r="Q105">
        <v>4000000</v>
      </c>
      <c r="R105">
        <v>4000000</v>
      </c>
      <c r="S105">
        <f t="shared" si="13"/>
        <v>0</v>
      </c>
      <c r="T105">
        <f t="shared" si="22"/>
        <v>1</v>
      </c>
      <c r="U105">
        <f t="shared" si="15"/>
        <v>0</v>
      </c>
      <c r="V105">
        <v>0</v>
      </c>
      <c r="W105">
        <f t="shared" si="16"/>
        <v>0</v>
      </c>
      <c r="X105">
        <f t="shared" si="17"/>
        <v>0</v>
      </c>
      <c r="Y105">
        <f t="shared" si="18"/>
        <v>0</v>
      </c>
      <c r="Z105">
        <f t="shared" si="19"/>
        <v>0</v>
      </c>
      <c r="AA105">
        <f t="shared" si="23"/>
        <v>0</v>
      </c>
      <c r="AB105">
        <f t="shared" si="24"/>
        <v>0</v>
      </c>
      <c r="AC105">
        <f t="shared" si="25"/>
        <v>0</v>
      </c>
      <c r="AD105">
        <f t="shared" si="20"/>
        <v>0</v>
      </c>
      <c r="AE105">
        <f t="shared" si="21"/>
        <v>0</v>
      </c>
      <c r="AF105">
        <f t="shared" si="14"/>
        <v>4000000</v>
      </c>
    </row>
    <row r="106" spans="1:32" x14ac:dyDescent="0.35">
      <c r="A106" s="1">
        <v>0</v>
      </c>
      <c r="B106" t="s">
        <v>173</v>
      </c>
      <c r="C106" t="s">
        <v>116</v>
      </c>
      <c r="D106" t="s">
        <v>39</v>
      </c>
      <c r="E106" t="s">
        <v>39</v>
      </c>
      <c r="F106" t="s">
        <v>58</v>
      </c>
      <c r="G106">
        <v>33</v>
      </c>
      <c r="H106" t="s">
        <v>174</v>
      </c>
      <c r="I106">
        <v>1.5948176383972168</v>
      </c>
      <c r="J106">
        <v>0.34064528346061707</v>
      </c>
      <c r="L106">
        <v>0</v>
      </c>
      <c r="O106" t="s">
        <v>58</v>
      </c>
      <c r="P106">
        <v>1</v>
      </c>
      <c r="Q106">
        <v>5000000</v>
      </c>
      <c r="R106">
        <v>5000000</v>
      </c>
      <c r="S106">
        <f t="shared" si="13"/>
        <v>0</v>
      </c>
      <c r="T106">
        <f t="shared" si="22"/>
        <v>0</v>
      </c>
      <c r="U106">
        <f t="shared" si="15"/>
        <v>0</v>
      </c>
      <c r="V106">
        <v>0</v>
      </c>
      <c r="W106">
        <f t="shared" si="16"/>
        <v>0</v>
      </c>
      <c r="X106">
        <f t="shared" si="17"/>
        <v>0</v>
      </c>
      <c r="Y106">
        <f t="shared" si="18"/>
        <v>0</v>
      </c>
      <c r="Z106">
        <f t="shared" si="19"/>
        <v>0</v>
      </c>
      <c r="AA106">
        <f t="shared" si="23"/>
        <v>1</v>
      </c>
      <c r="AB106">
        <f t="shared" si="24"/>
        <v>1</v>
      </c>
      <c r="AC106">
        <f t="shared" si="25"/>
        <v>1</v>
      </c>
      <c r="AD106">
        <f t="shared" si="20"/>
        <v>0</v>
      </c>
      <c r="AE106">
        <f t="shared" si="21"/>
        <v>0</v>
      </c>
      <c r="AF106">
        <f t="shared" si="14"/>
        <v>5000000</v>
      </c>
    </row>
    <row r="107" spans="1:32" x14ac:dyDescent="0.35">
      <c r="A107" s="1">
        <v>0</v>
      </c>
      <c r="B107" t="s">
        <v>502</v>
      </c>
      <c r="C107" t="s">
        <v>9</v>
      </c>
      <c r="D107" t="s">
        <v>39</v>
      </c>
      <c r="E107" t="s">
        <v>39</v>
      </c>
      <c r="F107" t="s">
        <v>56</v>
      </c>
      <c r="G107">
        <v>37</v>
      </c>
      <c r="H107" t="s">
        <v>503</v>
      </c>
      <c r="I107">
        <v>0.17800724506378174</v>
      </c>
      <c r="J107">
        <v>0.31330904364585876</v>
      </c>
      <c r="K107">
        <v>1</v>
      </c>
      <c r="L107">
        <v>6000000</v>
      </c>
      <c r="M107">
        <v>6000000</v>
      </c>
      <c r="O107" t="s">
        <v>48</v>
      </c>
      <c r="P107">
        <v>1</v>
      </c>
      <c r="Q107">
        <v>44444</v>
      </c>
      <c r="R107">
        <v>44444</v>
      </c>
      <c r="S107">
        <f t="shared" si="13"/>
        <v>0</v>
      </c>
      <c r="T107">
        <f t="shared" si="22"/>
        <v>0</v>
      </c>
      <c r="U107">
        <f t="shared" si="15"/>
        <v>1</v>
      </c>
      <c r="V107">
        <v>0</v>
      </c>
      <c r="W107">
        <f t="shared" si="16"/>
        <v>0</v>
      </c>
      <c r="X107">
        <f t="shared" si="17"/>
        <v>0</v>
      </c>
      <c r="Y107">
        <f t="shared" si="18"/>
        <v>0</v>
      </c>
      <c r="Z107">
        <f t="shared" si="19"/>
        <v>0</v>
      </c>
      <c r="AA107">
        <f t="shared" si="23"/>
        <v>0</v>
      </c>
      <c r="AB107">
        <f t="shared" si="24"/>
        <v>0</v>
      </c>
      <c r="AC107">
        <f t="shared" si="25"/>
        <v>0</v>
      </c>
      <c r="AD107">
        <f t="shared" si="20"/>
        <v>0</v>
      </c>
      <c r="AE107">
        <f t="shared" si="21"/>
        <v>0</v>
      </c>
      <c r="AF107">
        <f t="shared" si="14"/>
        <v>6000000</v>
      </c>
    </row>
    <row r="108" spans="1:32" x14ac:dyDescent="0.35">
      <c r="A108" s="1">
        <v>0</v>
      </c>
      <c r="B108" t="s">
        <v>502</v>
      </c>
      <c r="C108" t="s">
        <v>9</v>
      </c>
      <c r="D108" t="s">
        <v>39</v>
      </c>
      <c r="E108" t="s">
        <v>39</v>
      </c>
      <c r="F108" t="s">
        <v>56</v>
      </c>
      <c r="G108">
        <v>37</v>
      </c>
      <c r="H108" t="s">
        <v>503</v>
      </c>
      <c r="I108">
        <v>0.17800724506378174</v>
      </c>
      <c r="J108">
        <v>0.31330904364585876</v>
      </c>
      <c r="K108">
        <v>1</v>
      </c>
      <c r="L108">
        <v>6000000</v>
      </c>
      <c r="M108">
        <v>6000000</v>
      </c>
      <c r="O108" t="s">
        <v>51</v>
      </c>
      <c r="P108">
        <v>1</v>
      </c>
      <c r="S108">
        <f t="shared" si="13"/>
        <v>0</v>
      </c>
      <c r="T108">
        <f t="shared" si="22"/>
        <v>0</v>
      </c>
      <c r="U108">
        <f t="shared" si="15"/>
        <v>1</v>
      </c>
      <c r="V108">
        <v>0</v>
      </c>
      <c r="W108">
        <f t="shared" si="16"/>
        <v>0</v>
      </c>
      <c r="X108">
        <f t="shared" si="17"/>
        <v>0</v>
      </c>
      <c r="Y108">
        <f t="shared" si="18"/>
        <v>0</v>
      </c>
      <c r="Z108">
        <f t="shared" si="19"/>
        <v>0</v>
      </c>
      <c r="AA108">
        <f t="shared" si="23"/>
        <v>0</v>
      </c>
      <c r="AB108">
        <f t="shared" si="24"/>
        <v>0</v>
      </c>
      <c r="AC108">
        <f t="shared" si="25"/>
        <v>0</v>
      </c>
      <c r="AD108">
        <f t="shared" si="20"/>
        <v>0</v>
      </c>
      <c r="AE108">
        <f t="shared" si="21"/>
        <v>0</v>
      </c>
      <c r="AF108">
        <f t="shared" si="14"/>
        <v>6000000</v>
      </c>
    </row>
    <row r="109" spans="1:32" x14ac:dyDescent="0.35">
      <c r="A109" s="1">
        <v>0</v>
      </c>
      <c r="B109" t="s">
        <v>225</v>
      </c>
      <c r="C109" t="s">
        <v>9</v>
      </c>
      <c r="D109" t="s">
        <v>39</v>
      </c>
      <c r="E109" t="s">
        <v>39</v>
      </c>
      <c r="F109" t="s">
        <v>134</v>
      </c>
      <c r="G109">
        <v>32</v>
      </c>
      <c r="H109" t="s">
        <v>226</v>
      </c>
      <c r="I109">
        <v>1.1321791410446167</v>
      </c>
      <c r="J109">
        <v>0.31182423233985901</v>
      </c>
      <c r="K109">
        <v>2</v>
      </c>
      <c r="L109">
        <v>18000000</v>
      </c>
      <c r="M109">
        <v>9000000</v>
      </c>
      <c r="O109" t="s">
        <v>81</v>
      </c>
      <c r="P109">
        <v>2</v>
      </c>
      <c r="Q109">
        <v>22200000</v>
      </c>
      <c r="R109">
        <v>11100000</v>
      </c>
      <c r="S109">
        <f t="shared" si="13"/>
        <v>0</v>
      </c>
      <c r="T109">
        <f t="shared" si="22"/>
        <v>0</v>
      </c>
      <c r="U109">
        <f t="shared" si="15"/>
        <v>1</v>
      </c>
      <c r="V109">
        <v>0</v>
      </c>
      <c r="W109">
        <f t="shared" si="16"/>
        <v>0</v>
      </c>
      <c r="X109">
        <f t="shared" si="17"/>
        <v>0</v>
      </c>
      <c r="Y109">
        <f t="shared" si="18"/>
        <v>0</v>
      </c>
      <c r="Z109">
        <f t="shared" si="19"/>
        <v>0</v>
      </c>
      <c r="AA109">
        <f t="shared" si="23"/>
        <v>0</v>
      </c>
      <c r="AB109">
        <f t="shared" si="24"/>
        <v>0</v>
      </c>
      <c r="AC109">
        <f t="shared" si="25"/>
        <v>0</v>
      </c>
      <c r="AD109">
        <f t="shared" si="20"/>
        <v>0</v>
      </c>
      <c r="AE109">
        <f t="shared" si="21"/>
        <v>0</v>
      </c>
      <c r="AF109">
        <f t="shared" si="14"/>
        <v>9000000</v>
      </c>
    </row>
    <row r="110" spans="1:32" x14ac:dyDescent="0.35">
      <c r="A110" s="1">
        <v>0</v>
      </c>
      <c r="B110" t="s">
        <v>306</v>
      </c>
      <c r="C110" t="s">
        <v>9</v>
      </c>
      <c r="D110" t="s">
        <v>39</v>
      </c>
      <c r="E110" t="s">
        <v>39</v>
      </c>
      <c r="F110" t="s">
        <v>104</v>
      </c>
      <c r="G110">
        <v>34</v>
      </c>
      <c r="H110" t="s">
        <v>307</v>
      </c>
      <c r="I110">
        <v>0.68513780832290649</v>
      </c>
      <c r="J110">
        <v>0.3056509792804718</v>
      </c>
      <c r="L110">
        <v>0</v>
      </c>
      <c r="O110" t="s">
        <v>97</v>
      </c>
      <c r="P110">
        <v>1</v>
      </c>
      <c r="Q110">
        <v>1250000</v>
      </c>
      <c r="R110">
        <v>1250000</v>
      </c>
      <c r="S110">
        <f t="shared" si="13"/>
        <v>0</v>
      </c>
      <c r="T110">
        <f t="shared" si="22"/>
        <v>0</v>
      </c>
      <c r="U110">
        <f t="shared" si="15"/>
        <v>1</v>
      </c>
      <c r="V110">
        <v>0</v>
      </c>
      <c r="W110">
        <f t="shared" si="16"/>
        <v>0</v>
      </c>
      <c r="X110">
        <f t="shared" si="17"/>
        <v>0</v>
      </c>
      <c r="Y110">
        <f t="shared" si="18"/>
        <v>0</v>
      </c>
      <c r="Z110">
        <f t="shared" si="19"/>
        <v>0</v>
      </c>
      <c r="AA110">
        <f t="shared" si="23"/>
        <v>0</v>
      </c>
      <c r="AB110">
        <f t="shared" si="24"/>
        <v>0</v>
      </c>
      <c r="AC110">
        <f t="shared" si="25"/>
        <v>0</v>
      </c>
      <c r="AD110">
        <f t="shared" si="20"/>
        <v>0</v>
      </c>
      <c r="AE110">
        <f t="shared" si="21"/>
        <v>0</v>
      </c>
      <c r="AF110">
        <f t="shared" si="14"/>
        <v>1250000</v>
      </c>
    </row>
    <row r="111" spans="1:32" x14ac:dyDescent="0.35">
      <c r="A111" s="1">
        <v>0</v>
      </c>
      <c r="B111" t="s">
        <v>782</v>
      </c>
      <c r="C111" t="s">
        <v>783</v>
      </c>
      <c r="D111" t="s">
        <v>39</v>
      </c>
      <c r="E111" t="s">
        <v>39</v>
      </c>
      <c r="F111" t="s">
        <v>56</v>
      </c>
      <c r="G111">
        <v>28</v>
      </c>
      <c r="H111" t="s">
        <v>61</v>
      </c>
      <c r="I111">
        <v>-0.92764467000961304</v>
      </c>
      <c r="J111">
        <v>0.30552631616592413</v>
      </c>
      <c r="K111">
        <v>1</v>
      </c>
      <c r="L111">
        <v>6000000</v>
      </c>
      <c r="M111">
        <v>6000000</v>
      </c>
      <c r="O111" t="s">
        <v>110</v>
      </c>
      <c r="P111">
        <v>1</v>
      </c>
      <c r="Q111">
        <v>0</v>
      </c>
      <c r="S111">
        <f t="shared" si="13"/>
        <v>0</v>
      </c>
      <c r="T111">
        <f t="shared" si="22"/>
        <v>0</v>
      </c>
      <c r="U111">
        <f t="shared" si="15"/>
        <v>0</v>
      </c>
      <c r="V111">
        <v>0</v>
      </c>
      <c r="W111">
        <f t="shared" si="16"/>
        <v>0</v>
      </c>
      <c r="X111">
        <f t="shared" si="17"/>
        <v>0</v>
      </c>
      <c r="Y111">
        <f t="shared" si="18"/>
        <v>0</v>
      </c>
      <c r="Z111">
        <f t="shared" si="19"/>
        <v>0</v>
      </c>
      <c r="AA111">
        <f t="shared" si="23"/>
        <v>1</v>
      </c>
      <c r="AB111">
        <f t="shared" si="24"/>
        <v>0</v>
      </c>
      <c r="AC111">
        <f t="shared" si="25"/>
        <v>1</v>
      </c>
      <c r="AD111">
        <f t="shared" si="20"/>
        <v>0</v>
      </c>
      <c r="AE111">
        <f t="shared" si="21"/>
        <v>1</v>
      </c>
      <c r="AF111">
        <f t="shared" si="14"/>
        <v>6000000</v>
      </c>
    </row>
    <row r="112" spans="1:32" x14ac:dyDescent="0.35">
      <c r="A112" s="1">
        <v>0</v>
      </c>
      <c r="B112" t="s">
        <v>585</v>
      </c>
      <c r="C112" t="s">
        <v>9</v>
      </c>
      <c r="D112" t="s">
        <v>39</v>
      </c>
      <c r="E112" t="s">
        <v>39</v>
      </c>
      <c r="F112" t="s">
        <v>66</v>
      </c>
      <c r="G112">
        <v>37</v>
      </c>
      <c r="H112" t="s">
        <v>586</v>
      </c>
      <c r="I112">
        <v>-1.9738445058465004E-2</v>
      </c>
      <c r="J112">
        <v>0.30102184414863586</v>
      </c>
      <c r="K112">
        <v>1</v>
      </c>
      <c r="L112">
        <v>5000000</v>
      </c>
      <c r="M112">
        <v>5000000</v>
      </c>
      <c r="S112">
        <f t="shared" si="13"/>
        <v>0</v>
      </c>
      <c r="T112">
        <f t="shared" si="22"/>
        <v>0</v>
      </c>
      <c r="U112">
        <f t="shared" si="15"/>
        <v>1</v>
      </c>
      <c r="V112">
        <v>0</v>
      </c>
      <c r="W112">
        <f t="shared" si="16"/>
        <v>0</v>
      </c>
      <c r="X112">
        <f t="shared" si="17"/>
        <v>0</v>
      </c>
      <c r="Y112">
        <f t="shared" si="18"/>
        <v>0</v>
      </c>
      <c r="Z112">
        <f t="shared" si="19"/>
        <v>0</v>
      </c>
      <c r="AA112">
        <f t="shared" si="23"/>
        <v>0</v>
      </c>
      <c r="AB112">
        <f t="shared" si="24"/>
        <v>0</v>
      </c>
      <c r="AC112">
        <f t="shared" si="25"/>
        <v>0</v>
      </c>
      <c r="AD112">
        <f t="shared" si="20"/>
        <v>0</v>
      </c>
      <c r="AE112">
        <f t="shared" si="21"/>
        <v>0</v>
      </c>
      <c r="AF112">
        <f t="shared" si="14"/>
        <v>5000000</v>
      </c>
    </row>
    <row r="113" spans="1:32" x14ac:dyDescent="0.35">
      <c r="A113" s="1">
        <v>0</v>
      </c>
      <c r="B113" t="s">
        <v>353</v>
      </c>
      <c r="C113" t="s">
        <v>9</v>
      </c>
      <c r="D113" t="s">
        <v>33</v>
      </c>
      <c r="E113" t="s">
        <v>33</v>
      </c>
      <c r="F113" t="s">
        <v>56</v>
      </c>
      <c r="G113">
        <v>35</v>
      </c>
      <c r="H113" t="s">
        <v>354</v>
      </c>
      <c r="I113">
        <v>0.53618401288986206</v>
      </c>
      <c r="J113">
        <v>0.29656922817230225</v>
      </c>
      <c r="L113">
        <v>0</v>
      </c>
      <c r="O113" t="s">
        <v>100</v>
      </c>
      <c r="P113">
        <v>1</v>
      </c>
      <c r="Q113">
        <v>3000000</v>
      </c>
      <c r="R113">
        <v>3000000</v>
      </c>
      <c r="S113">
        <f t="shared" si="13"/>
        <v>0</v>
      </c>
      <c r="T113">
        <f t="shared" si="22"/>
        <v>0</v>
      </c>
      <c r="U113">
        <f t="shared" si="15"/>
        <v>1</v>
      </c>
      <c r="V113">
        <v>0</v>
      </c>
      <c r="W113">
        <f t="shared" si="16"/>
        <v>0</v>
      </c>
      <c r="X113">
        <f t="shared" si="17"/>
        <v>0</v>
      </c>
      <c r="Y113">
        <f t="shared" si="18"/>
        <v>0</v>
      </c>
      <c r="Z113">
        <f t="shared" si="19"/>
        <v>0</v>
      </c>
      <c r="AA113">
        <f t="shared" si="23"/>
        <v>0</v>
      </c>
      <c r="AB113">
        <f t="shared" si="24"/>
        <v>0</v>
      </c>
      <c r="AC113">
        <f t="shared" si="25"/>
        <v>0</v>
      </c>
      <c r="AD113">
        <f t="shared" si="20"/>
        <v>0</v>
      </c>
      <c r="AE113">
        <f t="shared" si="21"/>
        <v>0</v>
      </c>
      <c r="AF113">
        <f t="shared" si="14"/>
        <v>3000000</v>
      </c>
    </row>
    <row r="114" spans="1:32" x14ac:dyDescent="0.35">
      <c r="A114" s="1">
        <v>0</v>
      </c>
      <c r="B114" t="s">
        <v>707</v>
      </c>
      <c r="C114" t="s">
        <v>9</v>
      </c>
      <c r="D114" t="s">
        <v>39</v>
      </c>
      <c r="E114" t="s">
        <v>39</v>
      </c>
      <c r="F114" t="s">
        <v>86</v>
      </c>
      <c r="G114">
        <v>32</v>
      </c>
      <c r="H114" t="s">
        <v>708</v>
      </c>
      <c r="I114">
        <v>-0.29238122701644897</v>
      </c>
      <c r="J114">
        <v>0.2919904887676239</v>
      </c>
      <c r="L114">
        <v>0</v>
      </c>
      <c r="O114" t="s">
        <v>134</v>
      </c>
      <c r="P114">
        <v>1</v>
      </c>
      <c r="Q114">
        <v>8500000</v>
      </c>
      <c r="R114">
        <v>8500000</v>
      </c>
      <c r="S114">
        <f t="shared" si="13"/>
        <v>0</v>
      </c>
      <c r="T114">
        <f t="shared" si="22"/>
        <v>0</v>
      </c>
      <c r="U114">
        <f t="shared" si="15"/>
        <v>1</v>
      </c>
      <c r="V114">
        <v>0</v>
      </c>
      <c r="W114">
        <f t="shared" si="16"/>
        <v>0</v>
      </c>
      <c r="X114">
        <f t="shared" si="17"/>
        <v>0</v>
      </c>
      <c r="Y114">
        <f t="shared" si="18"/>
        <v>0</v>
      </c>
      <c r="Z114">
        <f t="shared" si="19"/>
        <v>0</v>
      </c>
      <c r="AA114">
        <f t="shared" si="23"/>
        <v>0</v>
      </c>
      <c r="AB114">
        <f t="shared" si="24"/>
        <v>0</v>
      </c>
      <c r="AC114">
        <f t="shared" si="25"/>
        <v>0</v>
      </c>
      <c r="AD114">
        <f t="shared" si="20"/>
        <v>0</v>
      </c>
      <c r="AE114">
        <f t="shared" si="21"/>
        <v>0</v>
      </c>
      <c r="AF114">
        <f t="shared" si="14"/>
        <v>8500000</v>
      </c>
    </row>
    <row r="115" spans="1:32" x14ac:dyDescent="0.35">
      <c r="A115" s="1">
        <v>0</v>
      </c>
      <c r="B115" t="s">
        <v>588</v>
      </c>
      <c r="C115" t="s">
        <v>9</v>
      </c>
      <c r="D115" t="s">
        <v>39</v>
      </c>
      <c r="E115" t="s">
        <v>39</v>
      </c>
      <c r="F115" t="s">
        <v>141</v>
      </c>
      <c r="G115">
        <v>33</v>
      </c>
      <c r="H115" t="s">
        <v>589</v>
      </c>
      <c r="I115">
        <v>-2.1173315122723579E-2</v>
      </c>
      <c r="J115">
        <v>0.28041326999664307</v>
      </c>
      <c r="L115">
        <v>0</v>
      </c>
      <c r="O115" t="s">
        <v>141</v>
      </c>
      <c r="P115">
        <v>1</v>
      </c>
      <c r="Q115">
        <v>6000000</v>
      </c>
      <c r="R115">
        <v>5589304</v>
      </c>
      <c r="S115">
        <f t="shared" si="13"/>
        <v>0</v>
      </c>
      <c r="T115">
        <f t="shared" si="22"/>
        <v>0</v>
      </c>
      <c r="U115">
        <f t="shared" si="15"/>
        <v>1</v>
      </c>
      <c r="V115">
        <v>0</v>
      </c>
      <c r="W115">
        <f t="shared" si="16"/>
        <v>0</v>
      </c>
      <c r="X115">
        <f t="shared" si="17"/>
        <v>0</v>
      </c>
      <c r="Y115">
        <f t="shared" si="18"/>
        <v>0</v>
      </c>
      <c r="Z115">
        <f t="shared" si="19"/>
        <v>0</v>
      </c>
      <c r="AA115">
        <f t="shared" si="23"/>
        <v>0</v>
      </c>
      <c r="AB115">
        <f t="shared" si="24"/>
        <v>0</v>
      </c>
      <c r="AC115">
        <f t="shared" si="25"/>
        <v>0</v>
      </c>
      <c r="AD115">
        <f t="shared" si="20"/>
        <v>0</v>
      </c>
      <c r="AE115">
        <f t="shared" si="21"/>
        <v>0</v>
      </c>
      <c r="AF115">
        <f t="shared" si="14"/>
        <v>5589304</v>
      </c>
    </row>
    <row r="116" spans="1:32" x14ac:dyDescent="0.35">
      <c r="A116" s="1">
        <v>0</v>
      </c>
      <c r="B116" t="s">
        <v>530</v>
      </c>
      <c r="C116" t="s">
        <v>9</v>
      </c>
      <c r="D116" t="s">
        <v>33</v>
      </c>
      <c r="E116" t="s">
        <v>39</v>
      </c>
      <c r="F116" t="s">
        <v>48</v>
      </c>
      <c r="G116">
        <v>35</v>
      </c>
      <c r="H116" t="s">
        <v>531</v>
      </c>
      <c r="I116">
        <v>0.12382979691028595</v>
      </c>
      <c r="J116">
        <v>0.27049711346626282</v>
      </c>
      <c r="L116">
        <v>0</v>
      </c>
      <c r="O116" t="s">
        <v>78</v>
      </c>
      <c r="P116">
        <v>1</v>
      </c>
      <c r="Q116">
        <v>2750000</v>
      </c>
      <c r="R116">
        <v>2750000</v>
      </c>
      <c r="S116">
        <f t="shared" si="13"/>
        <v>0</v>
      </c>
      <c r="T116">
        <f t="shared" si="22"/>
        <v>0</v>
      </c>
      <c r="U116">
        <f t="shared" si="15"/>
        <v>1</v>
      </c>
      <c r="V116">
        <v>0</v>
      </c>
      <c r="W116">
        <f t="shared" si="16"/>
        <v>0</v>
      </c>
      <c r="X116">
        <f t="shared" si="17"/>
        <v>0</v>
      </c>
      <c r="Y116">
        <f t="shared" si="18"/>
        <v>0</v>
      </c>
      <c r="Z116">
        <f t="shared" si="19"/>
        <v>0</v>
      </c>
      <c r="AA116">
        <f t="shared" si="23"/>
        <v>0</v>
      </c>
      <c r="AB116">
        <f t="shared" si="24"/>
        <v>0</v>
      </c>
      <c r="AC116">
        <f t="shared" si="25"/>
        <v>0</v>
      </c>
      <c r="AD116">
        <f t="shared" si="20"/>
        <v>0</v>
      </c>
      <c r="AE116">
        <f t="shared" si="21"/>
        <v>0</v>
      </c>
      <c r="AF116">
        <f t="shared" si="14"/>
        <v>2750000</v>
      </c>
    </row>
    <row r="117" spans="1:32" x14ac:dyDescent="0.35">
      <c r="A117" s="1">
        <v>0</v>
      </c>
      <c r="B117" t="s">
        <v>330</v>
      </c>
      <c r="C117" t="s">
        <v>9</v>
      </c>
      <c r="D117" t="s">
        <v>33</v>
      </c>
      <c r="E117" t="s">
        <v>33</v>
      </c>
      <c r="F117" t="s">
        <v>125</v>
      </c>
      <c r="G117">
        <v>31</v>
      </c>
      <c r="H117" t="s">
        <v>331</v>
      </c>
      <c r="I117">
        <v>0.62919342517852783</v>
      </c>
      <c r="J117">
        <v>0.2697654664516449</v>
      </c>
      <c r="L117">
        <v>0</v>
      </c>
      <c r="O117" t="s">
        <v>58</v>
      </c>
      <c r="P117">
        <v>1</v>
      </c>
      <c r="Q117">
        <v>1250000</v>
      </c>
      <c r="R117">
        <v>1250000</v>
      </c>
      <c r="S117">
        <f t="shared" si="13"/>
        <v>0</v>
      </c>
      <c r="T117">
        <f t="shared" si="22"/>
        <v>0</v>
      </c>
      <c r="U117">
        <f t="shared" si="15"/>
        <v>1</v>
      </c>
      <c r="V117">
        <v>0</v>
      </c>
      <c r="W117">
        <f t="shared" si="16"/>
        <v>0</v>
      </c>
      <c r="X117">
        <f t="shared" si="17"/>
        <v>0</v>
      </c>
      <c r="Y117">
        <f t="shared" si="18"/>
        <v>0</v>
      </c>
      <c r="Z117">
        <f t="shared" si="19"/>
        <v>0</v>
      </c>
      <c r="AA117">
        <f t="shared" si="23"/>
        <v>0</v>
      </c>
      <c r="AB117">
        <f t="shared" si="24"/>
        <v>0</v>
      </c>
      <c r="AC117">
        <f t="shared" si="25"/>
        <v>0</v>
      </c>
      <c r="AD117">
        <f t="shared" si="20"/>
        <v>0</v>
      </c>
      <c r="AE117">
        <f t="shared" si="21"/>
        <v>0</v>
      </c>
      <c r="AF117">
        <f t="shared" si="14"/>
        <v>1250000</v>
      </c>
    </row>
    <row r="118" spans="1:32" x14ac:dyDescent="0.35">
      <c r="A118" s="1">
        <v>0</v>
      </c>
      <c r="B118" t="s">
        <v>363</v>
      </c>
      <c r="C118" t="s">
        <v>364</v>
      </c>
      <c r="D118" t="s">
        <v>39</v>
      </c>
      <c r="E118" t="s">
        <v>39</v>
      </c>
      <c r="F118" t="s">
        <v>125</v>
      </c>
      <c r="G118">
        <v>32</v>
      </c>
      <c r="H118" t="s">
        <v>365</v>
      </c>
      <c r="I118">
        <v>0.51880383491516113</v>
      </c>
      <c r="J118">
        <v>0.26601451635360718</v>
      </c>
      <c r="L118">
        <v>0</v>
      </c>
      <c r="O118" t="s">
        <v>46</v>
      </c>
      <c r="P118">
        <v>1</v>
      </c>
      <c r="Q118">
        <v>1000000</v>
      </c>
      <c r="R118">
        <v>1000000</v>
      </c>
      <c r="S118">
        <f t="shared" si="13"/>
        <v>0</v>
      </c>
      <c r="T118">
        <f t="shared" si="22"/>
        <v>0</v>
      </c>
      <c r="U118">
        <f t="shared" si="15"/>
        <v>0</v>
      </c>
      <c r="V118">
        <v>0</v>
      </c>
      <c r="W118">
        <f t="shared" si="16"/>
        <v>1</v>
      </c>
      <c r="X118">
        <f t="shared" si="17"/>
        <v>0</v>
      </c>
      <c r="Y118">
        <f t="shared" si="18"/>
        <v>0</v>
      </c>
      <c r="Z118">
        <f t="shared" si="19"/>
        <v>0</v>
      </c>
      <c r="AA118">
        <f t="shared" si="23"/>
        <v>1</v>
      </c>
      <c r="AB118">
        <f t="shared" si="24"/>
        <v>0</v>
      </c>
      <c r="AC118">
        <f t="shared" si="25"/>
        <v>1</v>
      </c>
      <c r="AD118">
        <f t="shared" si="20"/>
        <v>0</v>
      </c>
      <c r="AE118">
        <f t="shared" si="21"/>
        <v>0</v>
      </c>
      <c r="AF118">
        <f t="shared" si="14"/>
        <v>1000000</v>
      </c>
    </row>
    <row r="119" spans="1:32" x14ac:dyDescent="0.35">
      <c r="A119" s="1">
        <v>0</v>
      </c>
      <c r="B119" t="s">
        <v>257</v>
      </c>
      <c r="C119" t="s">
        <v>9</v>
      </c>
      <c r="D119" t="s">
        <v>33</v>
      </c>
      <c r="E119" t="s">
        <v>33</v>
      </c>
      <c r="F119" t="s">
        <v>40</v>
      </c>
      <c r="G119">
        <v>34</v>
      </c>
      <c r="H119" t="s">
        <v>258</v>
      </c>
      <c r="I119">
        <v>0.89884853363037109</v>
      </c>
      <c r="J119">
        <v>0.25459596514701843</v>
      </c>
      <c r="L119">
        <v>0</v>
      </c>
      <c r="O119" t="s">
        <v>97</v>
      </c>
      <c r="P119">
        <v>1</v>
      </c>
      <c r="Q119">
        <v>2500000</v>
      </c>
      <c r="R119">
        <v>2500000</v>
      </c>
      <c r="S119">
        <f t="shared" si="13"/>
        <v>0</v>
      </c>
      <c r="T119">
        <f t="shared" si="22"/>
        <v>0</v>
      </c>
      <c r="U119">
        <f t="shared" si="15"/>
        <v>1</v>
      </c>
      <c r="V119">
        <v>0</v>
      </c>
      <c r="W119">
        <f t="shared" si="16"/>
        <v>0</v>
      </c>
      <c r="X119">
        <f t="shared" si="17"/>
        <v>0</v>
      </c>
      <c r="Y119">
        <f t="shared" si="18"/>
        <v>0</v>
      </c>
      <c r="Z119">
        <f t="shared" si="19"/>
        <v>0</v>
      </c>
      <c r="AA119">
        <f t="shared" si="23"/>
        <v>0</v>
      </c>
      <c r="AB119">
        <f t="shared" si="24"/>
        <v>0</v>
      </c>
      <c r="AC119">
        <f t="shared" si="25"/>
        <v>0</v>
      </c>
      <c r="AD119">
        <f t="shared" si="20"/>
        <v>0</v>
      </c>
      <c r="AE119">
        <f t="shared" si="21"/>
        <v>0</v>
      </c>
      <c r="AF119">
        <f t="shared" si="14"/>
        <v>2500000</v>
      </c>
    </row>
    <row r="120" spans="1:32" x14ac:dyDescent="0.35">
      <c r="A120" s="1">
        <v>0</v>
      </c>
      <c r="B120" t="s">
        <v>797</v>
      </c>
      <c r="C120" t="s">
        <v>273</v>
      </c>
      <c r="D120" t="s">
        <v>45</v>
      </c>
      <c r="E120" t="s">
        <v>33</v>
      </c>
      <c r="F120" t="s">
        <v>110</v>
      </c>
      <c r="G120">
        <v>26</v>
      </c>
      <c r="H120" t="s">
        <v>798</v>
      </c>
      <c r="I120">
        <v>-1.0943242311477661</v>
      </c>
      <c r="J120">
        <v>0.24424418807029724</v>
      </c>
      <c r="L120">
        <v>0</v>
      </c>
      <c r="O120" t="s">
        <v>56</v>
      </c>
      <c r="P120">
        <v>1</v>
      </c>
      <c r="Q120">
        <v>975000</v>
      </c>
      <c r="R120">
        <v>975000</v>
      </c>
      <c r="S120">
        <f t="shared" si="13"/>
        <v>0</v>
      </c>
      <c r="T120">
        <f t="shared" si="22"/>
        <v>0</v>
      </c>
      <c r="U120">
        <f t="shared" si="15"/>
        <v>0</v>
      </c>
      <c r="V120">
        <v>0</v>
      </c>
      <c r="W120">
        <f t="shared" si="16"/>
        <v>0</v>
      </c>
      <c r="X120">
        <f t="shared" si="17"/>
        <v>0</v>
      </c>
      <c r="Y120">
        <f t="shared" si="18"/>
        <v>0</v>
      </c>
      <c r="Z120">
        <f t="shared" si="19"/>
        <v>0</v>
      </c>
      <c r="AA120">
        <f t="shared" si="23"/>
        <v>1</v>
      </c>
      <c r="AB120">
        <f t="shared" si="24"/>
        <v>1</v>
      </c>
      <c r="AC120">
        <f t="shared" si="25"/>
        <v>1</v>
      </c>
      <c r="AD120">
        <f t="shared" si="20"/>
        <v>0</v>
      </c>
      <c r="AE120">
        <f t="shared" si="21"/>
        <v>0</v>
      </c>
      <c r="AF120">
        <f t="shared" si="14"/>
        <v>975000</v>
      </c>
    </row>
    <row r="121" spans="1:32" x14ac:dyDescent="0.35">
      <c r="A121" s="1">
        <v>0</v>
      </c>
      <c r="B121" t="s">
        <v>459</v>
      </c>
      <c r="C121" t="s">
        <v>334</v>
      </c>
      <c r="D121" t="s">
        <v>39</v>
      </c>
      <c r="E121" t="s">
        <v>39</v>
      </c>
      <c r="F121" t="s">
        <v>34</v>
      </c>
      <c r="G121">
        <v>35</v>
      </c>
      <c r="H121" t="s">
        <v>460</v>
      </c>
      <c r="I121">
        <v>0.26698204874992371</v>
      </c>
      <c r="J121">
        <v>0.24376147985458374</v>
      </c>
      <c r="L121">
        <v>0</v>
      </c>
      <c r="O121" t="s">
        <v>104</v>
      </c>
      <c r="P121">
        <v>1</v>
      </c>
      <c r="Q121">
        <v>2000000</v>
      </c>
      <c r="R121">
        <v>2000000</v>
      </c>
      <c r="S121">
        <f t="shared" si="13"/>
        <v>0</v>
      </c>
      <c r="T121">
        <f t="shared" si="22"/>
        <v>0</v>
      </c>
      <c r="U121">
        <f t="shared" si="15"/>
        <v>0</v>
      </c>
      <c r="V121">
        <v>0</v>
      </c>
      <c r="W121">
        <f t="shared" si="16"/>
        <v>0</v>
      </c>
      <c r="X121">
        <f t="shared" si="17"/>
        <v>1</v>
      </c>
      <c r="Y121">
        <f t="shared" si="18"/>
        <v>1</v>
      </c>
      <c r="Z121">
        <f t="shared" si="19"/>
        <v>1</v>
      </c>
      <c r="AA121">
        <f t="shared" si="23"/>
        <v>1</v>
      </c>
      <c r="AB121">
        <f t="shared" si="24"/>
        <v>1</v>
      </c>
      <c r="AC121">
        <f t="shared" si="25"/>
        <v>1</v>
      </c>
      <c r="AD121">
        <f t="shared" si="20"/>
        <v>1</v>
      </c>
      <c r="AE121">
        <f t="shared" si="21"/>
        <v>0</v>
      </c>
      <c r="AF121">
        <f t="shared" si="14"/>
        <v>2000000</v>
      </c>
    </row>
    <row r="122" spans="1:32" x14ac:dyDescent="0.35">
      <c r="A122" s="1">
        <v>0</v>
      </c>
      <c r="B122" t="s">
        <v>434</v>
      </c>
      <c r="C122" t="s">
        <v>9</v>
      </c>
      <c r="D122" t="s">
        <v>39</v>
      </c>
      <c r="E122" t="s">
        <v>39</v>
      </c>
      <c r="F122" t="s">
        <v>58</v>
      </c>
      <c r="G122">
        <v>35</v>
      </c>
      <c r="H122" t="s">
        <v>435</v>
      </c>
      <c r="I122">
        <v>0.3462543785572052</v>
      </c>
      <c r="J122">
        <v>0.236552894115448</v>
      </c>
      <c r="K122">
        <v>1</v>
      </c>
      <c r="L122">
        <v>6500000</v>
      </c>
      <c r="M122">
        <v>6500000</v>
      </c>
      <c r="O122" t="s">
        <v>102</v>
      </c>
      <c r="P122">
        <v>1</v>
      </c>
      <c r="Q122">
        <v>7000000</v>
      </c>
      <c r="R122">
        <v>7000000</v>
      </c>
      <c r="S122">
        <f t="shared" si="13"/>
        <v>0</v>
      </c>
      <c r="T122">
        <f t="shared" si="22"/>
        <v>0</v>
      </c>
      <c r="U122">
        <f t="shared" si="15"/>
        <v>1</v>
      </c>
      <c r="V122">
        <v>0</v>
      </c>
      <c r="W122">
        <f t="shared" si="16"/>
        <v>0</v>
      </c>
      <c r="X122">
        <f t="shared" si="17"/>
        <v>0</v>
      </c>
      <c r="Y122">
        <f t="shared" si="18"/>
        <v>0</v>
      </c>
      <c r="Z122">
        <f t="shared" si="19"/>
        <v>0</v>
      </c>
      <c r="AA122">
        <f t="shared" si="23"/>
        <v>0</v>
      </c>
      <c r="AB122">
        <f t="shared" si="24"/>
        <v>0</v>
      </c>
      <c r="AC122">
        <f t="shared" si="25"/>
        <v>0</v>
      </c>
      <c r="AD122">
        <f t="shared" si="20"/>
        <v>0</v>
      </c>
      <c r="AE122">
        <f t="shared" si="21"/>
        <v>0</v>
      </c>
      <c r="AF122">
        <f t="shared" si="14"/>
        <v>6500000</v>
      </c>
    </row>
    <row r="123" spans="1:32" x14ac:dyDescent="0.35">
      <c r="A123" s="1">
        <v>0</v>
      </c>
      <c r="B123" t="s">
        <v>627</v>
      </c>
      <c r="C123" t="s">
        <v>9</v>
      </c>
      <c r="D123" t="s">
        <v>39</v>
      </c>
      <c r="E123" t="s">
        <v>39</v>
      </c>
      <c r="F123" t="s">
        <v>48</v>
      </c>
      <c r="G123">
        <v>33</v>
      </c>
      <c r="H123" t="s">
        <v>628</v>
      </c>
      <c r="I123">
        <v>-0.11007146537303925</v>
      </c>
      <c r="J123">
        <v>0.23130252957344055</v>
      </c>
      <c r="L123">
        <v>0</v>
      </c>
      <c r="O123" t="s">
        <v>97</v>
      </c>
      <c r="P123">
        <v>1</v>
      </c>
      <c r="Q123">
        <v>1500000</v>
      </c>
      <c r="R123">
        <v>1500000</v>
      </c>
      <c r="S123">
        <f t="shared" si="13"/>
        <v>0</v>
      </c>
      <c r="T123">
        <f t="shared" si="22"/>
        <v>0</v>
      </c>
      <c r="U123">
        <f t="shared" si="15"/>
        <v>1</v>
      </c>
      <c r="V123">
        <v>0</v>
      </c>
      <c r="W123">
        <f t="shared" si="16"/>
        <v>0</v>
      </c>
      <c r="X123">
        <f t="shared" si="17"/>
        <v>0</v>
      </c>
      <c r="Y123">
        <f t="shared" si="18"/>
        <v>0</v>
      </c>
      <c r="Z123">
        <f t="shared" si="19"/>
        <v>0</v>
      </c>
      <c r="AA123">
        <f t="shared" si="23"/>
        <v>0</v>
      </c>
      <c r="AB123">
        <f t="shared" si="24"/>
        <v>0</v>
      </c>
      <c r="AC123">
        <f t="shared" si="25"/>
        <v>0</v>
      </c>
      <c r="AD123">
        <f t="shared" si="20"/>
        <v>0</v>
      </c>
      <c r="AE123">
        <f t="shared" si="21"/>
        <v>0</v>
      </c>
      <c r="AF123">
        <f t="shared" si="14"/>
        <v>1500000</v>
      </c>
    </row>
    <row r="124" spans="1:32" x14ac:dyDescent="0.35">
      <c r="A124" s="1">
        <v>1</v>
      </c>
      <c r="B124" t="s">
        <v>627</v>
      </c>
      <c r="C124" t="s">
        <v>9</v>
      </c>
      <c r="D124" t="s">
        <v>39</v>
      </c>
      <c r="E124" t="s">
        <v>39</v>
      </c>
      <c r="F124" t="s">
        <v>48</v>
      </c>
      <c r="G124">
        <v>33</v>
      </c>
      <c r="H124" t="s">
        <v>628</v>
      </c>
      <c r="I124">
        <v>-0.11007146537303925</v>
      </c>
      <c r="J124">
        <v>0.23130252957344055</v>
      </c>
      <c r="L124">
        <v>0</v>
      </c>
      <c r="O124" t="s">
        <v>78</v>
      </c>
      <c r="P124">
        <v>1</v>
      </c>
      <c r="Q124">
        <v>265591</v>
      </c>
      <c r="R124">
        <v>265591</v>
      </c>
      <c r="S124">
        <f t="shared" ref="S124:S170" si="26">IF(N124&gt;0, 1, 0)</f>
        <v>0</v>
      </c>
      <c r="T124">
        <f t="shared" si="22"/>
        <v>0</v>
      </c>
      <c r="U124">
        <f t="shared" si="15"/>
        <v>1</v>
      </c>
      <c r="V124">
        <v>0</v>
      </c>
      <c r="W124">
        <f t="shared" si="16"/>
        <v>0</v>
      </c>
      <c r="X124">
        <f t="shared" si="17"/>
        <v>0</v>
      </c>
      <c r="Y124">
        <f t="shared" si="18"/>
        <v>0</v>
      </c>
      <c r="Z124">
        <f t="shared" si="19"/>
        <v>0</v>
      </c>
      <c r="AA124">
        <f t="shared" si="23"/>
        <v>0</v>
      </c>
      <c r="AB124">
        <f t="shared" si="24"/>
        <v>0</v>
      </c>
      <c r="AC124">
        <f t="shared" si="25"/>
        <v>0</v>
      </c>
      <c r="AD124">
        <f t="shared" si="20"/>
        <v>0</v>
      </c>
      <c r="AE124">
        <f t="shared" si="21"/>
        <v>0</v>
      </c>
      <c r="AF124">
        <f t="shared" si="14"/>
        <v>265591</v>
      </c>
    </row>
    <row r="125" spans="1:32" x14ac:dyDescent="0.35">
      <c r="A125" s="1">
        <v>0</v>
      </c>
      <c r="B125" t="s">
        <v>521</v>
      </c>
      <c r="C125" t="s">
        <v>10</v>
      </c>
      <c r="D125" t="s">
        <v>39</v>
      </c>
      <c r="E125" t="s">
        <v>39</v>
      </c>
      <c r="F125" t="s">
        <v>102</v>
      </c>
      <c r="G125">
        <v>38</v>
      </c>
      <c r="H125" t="s">
        <v>522</v>
      </c>
      <c r="I125">
        <v>0.13202005624771118</v>
      </c>
      <c r="J125">
        <v>0.22166724503040314</v>
      </c>
      <c r="L125">
        <v>0</v>
      </c>
      <c r="O125" t="s">
        <v>34</v>
      </c>
      <c r="P125">
        <v>1</v>
      </c>
      <c r="Q125">
        <v>346774</v>
      </c>
      <c r="R125">
        <v>346774</v>
      </c>
      <c r="S125">
        <f t="shared" si="26"/>
        <v>0</v>
      </c>
      <c r="T125">
        <f t="shared" si="22"/>
        <v>1</v>
      </c>
      <c r="U125">
        <f t="shared" si="15"/>
        <v>0</v>
      </c>
      <c r="V125">
        <v>0</v>
      </c>
      <c r="W125">
        <f t="shared" si="16"/>
        <v>0</v>
      </c>
      <c r="X125">
        <f t="shared" si="17"/>
        <v>0</v>
      </c>
      <c r="Y125">
        <f t="shared" si="18"/>
        <v>0</v>
      </c>
      <c r="Z125">
        <f t="shared" si="19"/>
        <v>0</v>
      </c>
      <c r="AA125">
        <f t="shared" si="23"/>
        <v>0</v>
      </c>
      <c r="AB125">
        <f t="shared" si="24"/>
        <v>0</v>
      </c>
      <c r="AC125">
        <f t="shared" si="25"/>
        <v>0</v>
      </c>
      <c r="AD125">
        <f t="shared" si="20"/>
        <v>0</v>
      </c>
      <c r="AE125">
        <f t="shared" si="21"/>
        <v>0</v>
      </c>
      <c r="AF125">
        <f t="shared" si="14"/>
        <v>346774</v>
      </c>
    </row>
    <row r="126" spans="1:32" x14ac:dyDescent="0.35">
      <c r="A126" s="1">
        <v>0</v>
      </c>
      <c r="B126" t="s">
        <v>286</v>
      </c>
      <c r="C126" t="s">
        <v>9</v>
      </c>
      <c r="D126" t="s">
        <v>39</v>
      </c>
      <c r="E126" t="s">
        <v>39</v>
      </c>
      <c r="F126" t="s">
        <v>97</v>
      </c>
      <c r="G126">
        <v>31</v>
      </c>
      <c r="H126" t="s">
        <v>287</v>
      </c>
      <c r="I126">
        <v>0.80759650468826294</v>
      </c>
      <c r="J126">
        <v>0.20117248594760895</v>
      </c>
      <c r="K126">
        <v>2</v>
      </c>
      <c r="L126">
        <v>12000000</v>
      </c>
      <c r="M126">
        <v>6000000</v>
      </c>
      <c r="O126" t="s">
        <v>129</v>
      </c>
      <c r="P126">
        <v>1</v>
      </c>
      <c r="Q126">
        <v>10000000</v>
      </c>
      <c r="R126">
        <v>10000000</v>
      </c>
      <c r="S126">
        <f t="shared" si="26"/>
        <v>0</v>
      </c>
      <c r="T126">
        <f t="shared" si="22"/>
        <v>0</v>
      </c>
      <c r="U126">
        <f t="shared" si="15"/>
        <v>1</v>
      </c>
      <c r="V126">
        <v>0</v>
      </c>
      <c r="W126">
        <f t="shared" si="16"/>
        <v>0</v>
      </c>
      <c r="X126">
        <f t="shared" si="17"/>
        <v>0</v>
      </c>
      <c r="Y126">
        <f t="shared" si="18"/>
        <v>0</v>
      </c>
      <c r="Z126">
        <f t="shared" si="19"/>
        <v>0</v>
      </c>
      <c r="AA126">
        <f t="shared" si="23"/>
        <v>0</v>
      </c>
      <c r="AB126">
        <f t="shared" si="24"/>
        <v>0</v>
      </c>
      <c r="AC126">
        <f t="shared" si="25"/>
        <v>0</v>
      </c>
      <c r="AD126">
        <f t="shared" si="20"/>
        <v>0</v>
      </c>
      <c r="AE126">
        <f t="shared" si="21"/>
        <v>0</v>
      </c>
      <c r="AF126">
        <f t="shared" si="14"/>
        <v>6000000</v>
      </c>
    </row>
    <row r="127" spans="1:32" x14ac:dyDescent="0.35">
      <c r="A127" s="1">
        <v>0</v>
      </c>
      <c r="B127" t="s">
        <v>552</v>
      </c>
      <c r="C127" t="s">
        <v>9</v>
      </c>
      <c r="D127" t="s">
        <v>39</v>
      </c>
      <c r="E127" t="s">
        <v>39</v>
      </c>
      <c r="F127" t="s">
        <v>34</v>
      </c>
      <c r="G127">
        <v>35</v>
      </c>
      <c r="H127" t="s">
        <v>553</v>
      </c>
      <c r="I127">
        <v>5.6362487375736237E-2</v>
      </c>
      <c r="J127">
        <v>0.19918128848075867</v>
      </c>
      <c r="L127">
        <v>0</v>
      </c>
      <c r="O127" t="s">
        <v>78</v>
      </c>
      <c r="P127">
        <v>1</v>
      </c>
      <c r="Q127">
        <v>7750000</v>
      </c>
      <c r="R127">
        <v>7750000</v>
      </c>
      <c r="S127">
        <f t="shared" si="26"/>
        <v>0</v>
      </c>
      <c r="T127">
        <f t="shared" si="22"/>
        <v>0</v>
      </c>
      <c r="U127">
        <f t="shared" si="15"/>
        <v>1</v>
      </c>
      <c r="V127">
        <v>0</v>
      </c>
      <c r="W127">
        <f t="shared" si="16"/>
        <v>0</v>
      </c>
      <c r="X127">
        <f t="shared" si="17"/>
        <v>0</v>
      </c>
      <c r="Y127">
        <f t="shared" si="18"/>
        <v>0</v>
      </c>
      <c r="Z127">
        <f t="shared" si="19"/>
        <v>0</v>
      </c>
      <c r="AA127">
        <f t="shared" si="23"/>
        <v>0</v>
      </c>
      <c r="AB127">
        <f t="shared" si="24"/>
        <v>0</v>
      </c>
      <c r="AC127">
        <f t="shared" si="25"/>
        <v>0</v>
      </c>
      <c r="AD127">
        <f t="shared" si="20"/>
        <v>0</v>
      </c>
      <c r="AE127">
        <f t="shared" si="21"/>
        <v>0</v>
      </c>
      <c r="AF127">
        <f t="shared" si="14"/>
        <v>7750000</v>
      </c>
    </row>
    <row r="128" spans="1:32" x14ac:dyDescent="0.35">
      <c r="A128" s="1">
        <v>0</v>
      </c>
      <c r="B128" t="s">
        <v>550</v>
      </c>
      <c r="C128" t="s">
        <v>9</v>
      </c>
      <c r="D128" t="s">
        <v>33</v>
      </c>
      <c r="E128" t="s">
        <v>33</v>
      </c>
      <c r="F128" t="s">
        <v>129</v>
      </c>
      <c r="G128">
        <v>35</v>
      </c>
      <c r="H128" t="s">
        <v>192</v>
      </c>
      <c r="I128">
        <v>7.9370364546775818E-2</v>
      </c>
      <c r="J128">
        <v>0.19732068479061127</v>
      </c>
      <c r="L128">
        <v>0</v>
      </c>
      <c r="O128" t="s">
        <v>254</v>
      </c>
      <c r="P128">
        <v>1</v>
      </c>
      <c r="Q128">
        <v>2000000</v>
      </c>
      <c r="R128">
        <v>2000000</v>
      </c>
      <c r="S128">
        <f t="shared" si="26"/>
        <v>0</v>
      </c>
      <c r="T128">
        <f t="shared" si="22"/>
        <v>0</v>
      </c>
      <c r="U128">
        <f t="shared" si="15"/>
        <v>1</v>
      </c>
      <c r="V128">
        <v>0</v>
      </c>
      <c r="W128">
        <f t="shared" si="16"/>
        <v>0</v>
      </c>
      <c r="X128">
        <f t="shared" si="17"/>
        <v>0</v>
      </c>
      <c r="Y128">
        <f t="shared" si="18"/>
        <v>0</v>
      </c>
      <c r="Z128">
        <f t="shared" si="19"/>
        <v>0</v>
      </c>
      <c r="AA128">
        <f t="shared" si="23"/>
        <v>0</v>
      </c>
      <c r="AB128">
        <f t="shared" si="24"/>
        <v>0</v>
      </c>
      <c r="AC128">
        <f t="shared" si="25"/>
        <v>0</v>
      </c>
      <c r="AD128">
        <f t="shared" si="20"/>
        <v>0</v>
      </c>
      <c r="AE128">
        <f t="shared" si="21"/>
        <v>0</v>
      </c>
      <c r="AF128">
        <f t="shared" si="14"/>
        <v>2000000</v>
      </c>
    </row>
    <row r="129" spans="1:32" x14ac:dyDescent="0.35">
      <c r="A129" s="1">
        <v>0</v>
      </c>
      <c r="B129" t="s">
        <v>785</v>
      </c>
      <c r="C129" t="s">
        <v>9</v>
      </c>
      <c r="D129" t="s">
        <v>39</v>
      </c>
      <c r="E129" t="s">
        <v>39</v>
      </c>
      <c r="F129" t="s">
        <v>151</v>
      </c>
      <c r="G129">
        <v>29</v>
      </c>
      <c r="H129" t="s">
        <v>786</v>
      </c>
      <c r="I129">
        <v>-0.96331673860549927</v>
      </c>
      <c r="J129">
        <v>0.19612075388431549</v>
      </c>
      <c r="L129">
        <v>0</v>
      </c>
      <c r="O129" t="s">
        <v>48</v>
      </c>
      <c r="P129">
        <v>1</v>
      </c>
      <c r="Q129">
        <v>1400000</v>
      </c>
      <c r="R129">
        <v>1400000</v>
      </c>
      <c r="S129">
        <f t="shared" si="26"/>
        <v>0</v>
      </c>
      <c r="T129">
        <f t="shared" si="22"/>
        <v>0</v>
      </c>
      <c r="U129">
        <f t="shared" si="15"/>
        <v>1</v>
      </c>
      <c r="V129">
        <v>0</v>
      </c>
      <c r="W129">
        <f t="shared" si="16"/>
        <v>0</v>
      </c>
      <c r="X129">
        <f t="shared" si="17"/>
        <v>0</v>
      </c>
      <c r="Y129">
        <f t="shared" si="18"/>
        <v>0</v>
      </c>
      <c r="Z129">
        <f t="shared" si="19"/>
        <v>0</v>
      </c>
      <c r="AA129">
        <f t="shared" si="23"/>
        <v>0</v>
      </c>
      <c r="AB129">
        <f t="shared" si="24"/>
        <v>0</v>
      </c>
      <c r="AC129">
        <f t="shared" si="25"/>
        <v>0</v>
      </c>
      <c r="AD129">
        <f t="shared" si="20"/>
        <v>0</v>
      </c>
      <c r="AE129">
        <f t="shared" si="21"/>
        <v>0</v>
      </c>
      <c r="AF129">
        <f t="shared" si="14"/>
        <v>1400000</v>
      </c>
    </row>
    <row r="130" spans="1:32" x14ac:dyDescent="0.35">
      <c r="A130" s="1">
        <v>0</v>
      </c>
      <c r="B130" t="s">
        <v>490</v>
      </c>
      <c r="C130" t="s">
        <v>9</v>
      </c>
      <c r="D130" t="s">
        <v>39</v>
      </c>
      <c r="E130" t="s">
        <v>39</v>
      </c>
      <c r="F130" t="s">
        <v>104</v>
      </c>
      <c r="G130">
        <v>32</v>
      </c>
      <c r="H130" t="s">
        <v>491</v>
      </c>
      <c r="I130">
        <v>0.20318952202796936</v>
      </c>
      <c r="J130">
        <v>0.18711018562316895</v>
      </c>
      <c r="L130">
        <v>0</v>
      </c>
      <c r="O130" t="s">
        <v>141</v>
      </c>
      <c r="P130">
        <v>1</v>
      </c>
      <c r="Q130">
        <v>3000000</v>
      </c>
      <c r="R130">
        <v>3000000</v>
      </c>
      <c r="S130">
        <f t="shared" si="26"/>
        <v>0</v>
      </c>
      <c r="T130">
        <f t="shared" si="22"/>
        <v>0</v>
      </c>
      <c r="U130">
        <f t="shared" si="15"/>
        <v>1</v>
      </c>
      <c r="V130">
        <v>0</v>
      </c>
      <c r="W130">
        <f t="shared" si="16"/>
        <v>0</v>
      </c>
      <c r="X130">
        <f t="shared" si="17"/>
        <v>0</v>
      </c>
      <c r="Y130">
        <f t="shared" si="18"/>
        <v>0</v>
      </c>
      <c r="Z130">
        <f t="shared" si="19"/>
        <v>0</v>
      </c>
      <c r="AA130">
        <f t="shared" si="23"/>
        <v>0</v>
      </c>
      <c r="AB130">
        <f t="shared" si="24"/>
        <v>0</v>
      </c>
      <c r="AC130">
        <f t="shared" si="25"/>
        <v>0</v>
      </c>
      <c r="AD130">
        <f t="shared" si="20"/>
        <v>0</v>
      </c>
      <c r="AE130">
        <f t="shared" si="21"/>
        <v>0</v>
      </c>
      <c r="AF130">
        <f t="shared" si="14"/>
        <v>3000000</v>
      </c>
    </row>
    <row r="131" spans="1:32" x14ac:dyDescent="0.35">
      <c r="A131" s="1">
        <v>0</v>
      </c>
      <c r="B131" t="s">
        <v>558</v>
      </c>
      <c r="C131" t="s">
        <v>9</v>
      </c>
      <c r="D131" t="s">
        <v>39</v>
      </c>
      <c r="E131" t="s">
        <v>39</v>
      </c>
      <c r="F131" t="s">
        <v>102</v>
      </c>
      <c r="G131">
        <v>32</v>
      </c>
      <c r="H131" t="s">
        <v>559</v>
      </c>
      <c r="I131">
        <v>4.1170444339513779E-2</v>
      </c>
      <c r="J131">
        <v>0.18623954057693481</v>
      </c>
      <c r="K131">
        <v>1</v>
      </c>
      <c r="L131">
        <v>4000000</v>
      </c>
      <c r="M131">
        <v>4000000</v>
      </c>
      <c r="O131" t="s">
        <v>70</v>
      </c>
      <c r="P131">
        <v>1</v>
      </c>
      <c r="Q131">
        <v>2500000</v>
      </c>
      <c r="R131">
        <v>2500000</v>
      </c>
      <c r="S131">
        <f t="shared" si="26"/>
        <v>0</v>
      </c>
      <c r="T131">
        <f t="shared" si="22"/>
        <v>0</v>
      </c>
      <c r="U131">
        <f t="shared" si="15"/>
        <v>1</v>
      </c>
      <c r="V131">
        <v>0</v>
      </c>
      <c r="W131">
        <f t="shared" si="16"/>
        <v>0</v>
      </c>
      <c r="X131">
        <f t="shared" si="17"/>
        <v>0</v>
      </c>
      <c r="Y131">
        <f t="shared" si="18"/>
        <v>0</v>
      </c>
      <c r="Z131">
        <f t="shared" si="19"/>
        <v>0</v>
      </c>
      <c r="AA131">
        <f t="shared" si="23"/>
        <v>0</v>
      </c>
      <c r="AB131">
        <f t="shared" si="24"/>
        <v>0</v>
      </c>
      <c r="AC131">
        <f t="shared" si="25"/>
        <v>0</v>
      </c>
      <c r="AD131">
        <f t="shared" si="20"/>
        <v>0</v>
      </c>
      <c r="AE131">
        <f t="shared" si="21"/>
        <v>0</v>
      </c>
      <c r="AF131">
        <f t="shared" si="14"/>
        <v>4000000</v>
      </c>
    </row>
    <row r="132" spans="1:32" x14ac:dyDescent="0.35">
      <c r="A132" s="1">
        <v>0</v>
      </c>
      <c r="B132" t="s">
        <v>212</v>
      </c>
      <c r="C132" t="s">
        <v>10</v>
      </c>
      <c r="D132" t="s">
        <v>33</v>
      </c>
      <c r="E132" t="s">
        <v>33</v>
      </c>
      <c r="F132" t="s">
        <v>62</v>
      </c>
      <c r="G132">
        <v>28</v>
      </c>
      <c r="H132" t="s">
        <v>213</v>
      </c>
      <c r="I132">
        <v>1.2016021013259888</v>
      </c>
      <c r="J132">
        <v>0.18469195067882538</v>
      </c>
      <c r="L132">
        <v>0</v>
      </c>
      <c r="O132" t="s">
        <v>53</v>
      </c>
      <c r="P132">
        <v>2</v>
      </c>
      <c r="Q132">
        <v>18250000</v>
      </c>
      <c r="R132">
        <v>9125000</v>
      </c>
      <c r="S132">
        <f t="shared" si="26"/>
        <v>0</v>
      </c>
      <c r="T132">
        <f t="shared" si="22"/>
        <v>1</v>
      </c>
      <c r="U132">
        <f t="shared" si="15"/>
        <v>0</v>
      </c>
      <c r="V132">
        <v>0</v>
      </c>
      <c r="W132">
        <f t="shared" si="16"/>
        <v>0</v>
      </c>
      <c r="X132">
        <f t="shared" si="17"/>
        <v>0</v>
      </c>
      <c r="Y132">
        <f t="shared" si="18"/>
        <v>0</v>
      </c>
      <c r="Z132">
        <f t="shared" si="19"/>
        <v>0</v>
      </c>
      <c r="AA132">
        <f t="shared" si="23"/>
        <v>0</v>
      </c>
      <c r="AB132">
        <f t="shared" si="24"/>
        <v>0</v>
      </c>
      <c r="AC132">
        <f t="shared" si="25"/>
        <v>0</v>
      </c>
      <c r="AD132">
        <f t="shared" si="20"/>
        <v>0</v>
      </c>
      <c r="AE132">
        <f t="shared" si="21"/>
        <v>0</v>
      </c>
      <c r="AF132">
        <f t="shared" si="14"/>
        <v>9125000</v>
      </c>
    </row>
    <row r="133" spans="1:32" x14ac:dyDescent="0.35">
      <c r="A133" s="1">
        <v>0</v>
      </c>
      <c r="B133" t="s">
        <v>327</v>
      </c>
      <c r="C133" t="s">
        <v>116</v>
      </c>
      <c r="D133" t="s">
        <v>39</v>
      </c>
      <c r="E133" t="s">
        <v>39</v>
      </c>
      <c r="F133" t="s">
        <v>62</v>
      </c>
      <c r="G133">
        <v>36</v>
      </c>
      <c r="H133" t="s">
        <v>328</v>
      </c>
      <c r="I133">
        <v>0.6507299542427063</v>
      </c>
      <c r="J133">
        <v>0.1700701117515564</v>
      </c>
      <c r="L133">
        <v>0</v>
      </c>
      <c r="O133" t="s">
        <v>97</v>
      </c>
      <c r="P133">
        <v>1</v>
      </c>
      <c r="Q133">
        <v>1000000</v>
      </c>
      <c r="R133">
        <v>1000000</v>
      </c>
      <c r="S133">
        <f t="shared" si="26"/>
        <v>0</v>
      </c>
      <c r="T133">
        <f t="shared" si="22"/>
        <v>0</v>
      </c>
      <c r="U133">
        <f t="shared" si="15"/>
        <v>0</v>
      </c>
      <c r="V133">
        <v>0</v>
      </c>
      <c r="W133">
        <f t="shared" si="16"/>
        <v>0</v>
      </c>
      <c r="X133">
        <f t="shared" si="17"/>
        <v>0</v>
      </c>
      <c r="Y133">
        <f t="shared" si="18"/>
        <v>0</v>
      </c>
      <c r="Z133">
        <f t="shared" si="19"/>
        <v>0</v>
      </c>
      <c r="AA133">
        <f t="shared" si="23"/>
        <v>1</v>
      </c>
      <c r="AB133">
        <f t="shared" si="24"/>
        <v>1</v>
      </c>
      <c r="AC133">
        <f t="shared" si="25"/>
        <v>1</v>
      </c>
      <c r="AD133">
        <f t="shared" si="20"/>
        <v>0</v>
      </c>
      <c r="AE133">
        <f t="shared" si="21"/>
        <v>0</v>
      </c>
      <c r="AF133">
        <f t="shared" si="14"/>
        <v>1000000</v>
      </c>
    </row>
    <row r="134" spans="1:32" x14ac:dyDescent="0.35">
      <c r="A134" s="1">
        <v>0</v>
      </c>
      <c r="B134" t="s">
        <v>462</v>
      </c>
      <c r="C134" t="s">
        <v>9</v>
      </c>
      <c r="D134" t="s">
        <v>39</v>
      </c>
      <c r="E134" t="s">
        <v>39</v>
      </c>
      <c r="F134" t="s">
        <v>53</v>
      </c>
      <c r="G134">
        <v>38</v>
      </c>
      <c r="H134" t="s">
        <v>463</v>
      </c>
      <c r="I134">
        <v>0.26689878106117249</v>
      </c>
      <c r="J134">
        <v>0.16752976179122925</v>
      </c>
      <c r="K134">
        <v>1</v>
      </c>
      <c r="L134">
        <v>3000000</v>
      </c>
      <c r="M134">
        <v>3000000</v>
      </c>
      <c r="O134" t="s">
        <v>66</v>
      </c>
      <c r="P134">
        <v>1</v>
      </c>
      <c r="Q134">
        <v>1500000</v>
      </c>
      <c r="R134">
        <v>1500000</v>
      </c>
      <c r="S134">
        <f t="shared" si="26"/>
        <v>0</v>
      </c>
      <c r="T134">
        <f t="shared" si="22"/>
        <v>0</v>
      </c>
      <c r="U134">
        <f t="shared" si="15"/>
        <v>1</v>
      </c>
      <c r="V134">
        <v>0</v>
      </c>
      <c r="W134">
        <f t="shared" si="16"/>
        <v>0</v>
      </c>
      <c r="X134">
        <f t="shared" si="17"/>
        <v>0</v>
      </c>
      <c r="Y134">
        <f t="shared" si="18"/>
        <v>0</v>
      </c>
      <c r="Z134">
        <f t="shared" si="19"/>
        <v>0</v>
      </c>
      <c r="AA134">
        <f t="shared" si="23"/>
        <v>0</v>
      </c>
      <c r="AB134">
        <f t="shared" si="24"/>
        <v>0</v>
      </c>
      <c r="AC134">
        <f t="shared" si="25"/>
        <v>0</v>
      </c>
      <c r="AD134">
        <f t="shared" si="20"/>
        <v>0</v>
      </c>
      <c r="AE134">
        <f t="shared" si="21"/>
        <v>0</v>
      </c>
      <c r="AF134">
        <f t="shared" si="14"/>
        <v>3000000</v>
      </c>
    </row>
    <row r="135" spans="1:32" x14ac:dyDescent="0.35">
      <c r="A135" s="1">
        <v>0</v>
      </c>
      <c r="B135" t="s">
        <v>462</v>
      </c>
      <c r="C135" t="s">
        <v>9</v>
      </c>
      <c r="D135" t="s">
        <v>39</v>
      </c>
      <c r="E135" t="s">
        <v>39</v>
      </c>
      <c r="F135" t="s">
        <v>53</v>
      </c>
      <c r="G135">
        <v>38</v>
      </c>
      <c r="H135" t="s">
        <v>463</v>
      </c>
      <c r="I135">
        <v>0.26689878106117249</v>
      </c>
      <c r="J135">
        <v>0.16752976179122925</v>
      </c>
      <c r="K135">
        <v>1</v>
      </c>
      <c r="L135">
        <v>3000000</v>
      </c>
      <c r="M135">
        <v>3000000</v>
      </c>
      <c r="O135" t="s">
        <v>141</v>
      </c>
      <c r="P135">
        <v>1</v>
      </c>
      <c r="Q135">
        <v>339140</v>
      </c>
      <c r="R135">
        <v>339140</v>
      </c>
      <c r="S135">
        <f t="shared" si="26"/>
        <v>0</v>
      </c>
      <c r="T135">
        <f t="shared" si="22"/>
        <v>0</v>
      </c>
      <c r="U135">
        <f t="shared" si="15"/>
        <v>1</v>
      </c>
      <c r="V135">
        <v>0</v>
      </c>
      <c r="W135">
        <f t="shared" si="16"/>
        <v>0</v>
      </c>
      <c r="X135">
        <f t="shared" si="17"/>
        <v>0</v>
      </c>
      <c r="Y135">
        <f t="shared" si="18"/>
        <v>0</v>
      </c>
      <c r="Z135">
        <f t="shared" si="19"/>
        <v>0</v>
      </c>
      <c r="AA135">
        <f t="shared" si="23"/>
        <v>0</v>
      </c>
      <c r="AB135">
        <f t="shared" si="24"/>
        <v>0</v>
      </c>
      <c r="AC135">
        <f t="shared" si="25"/>
        <v>0</v>
      </c>
      <c r="AD135">
        <f t="shared" si="20"/>
        <v>0</v>
      </c>
      <c r="AE135">
        <f t="shared" si="21"/>
        <v>0</v>
      </c>
      <c r="AF135">
        <f t="shared" si="14"/>
        <v>3000000</v>
      </c>
    </row>
    <row r="136" spans="1:32" x14ac:dyDescent="0.35">
      <c r="A136" s="1">
        <v>0</v>
      </c>
      <c r="B136" t="s">
        <v>591</v>
      </c>
      <c r="C136" t="s">
        <v>9</v>
      </c>
      <c r="D136" t="s">
        <v>39</v>
      </c>
      <c r="E136" t="s">
        <v>39</v>
      </c>
      <c r="F136" t="s">
        <v>36</v>
      </c>
      <c r="G136">
        <v>33</v>
      </c>
      <c r="H136" t="s">
        <v>592</v>
      </c>
      <c r="I136">
        <v>-3.0892983078956604E-2</v>
      </c>
      <c r="J136">
        <v>0.16131676733493805</v>
      </c>
      <c r="L136">
        <v>0</v>
      </c>
      <c r="O136" t="s">
        <v>36</v>
      </c>
      <c r="P136">
        <v>1</v>
      </c>
      <c r="Q136">
        <v>4500000</v>
      </c>
      <c r="R136">
        <v>4500000</v>
      </c>
      <c r="S136">
        <f t="shared" si="26"/>
        <v>0</v>
      </c>
      <c r="T136">
        <f t="shared" si="22"/>
        <v>0</v>
      </c>
      <c r="U136">
        <f t="shared" si="15"/>
        <v>1</v>
      </c>
      <c r="V136">
        <v>0</v>
      </c>
      <c r="W136">
        <f t="shared" si="16"/>
        <v>0</v>
      </c>
      <c r="X136">
        <f t="shared" si="17"/>
        <v>0</v>
      </c>
      <c r="Y136">
        <f t="shared" si="18"/>
        <v>0</v>
      </c>
      <c r="Z136">
        <f t="shared" si="19"/>
        <v>0</v>
      </c>
      <c r="AA136">
        <f t="shared" si="23"/>
        <v>0</v>
      </c>
      <c r="AB136">
        <f t="shared" si="24"/>
        <v>0</v>
      </c>
      <c r="AC136">
        <f t="shared" si="25"/>
        <v>0</v>
      </c>
      <c r="AD136">
        <f t="shared" si="20"/>
        <v>0</v>
      </c>
      <c r="AE136">
        <f t="shared" si="21"/>
        <v>0</v>
      </c>
      <c r="AF136">
        <f t="shared" si="14"/>
        <v>4500000</v>
      </c>
    </row>
    <row r="137" spans="1:32" x14ac:dyDescent="0.35">
      <c r="A137" s="1">
        <v>0</v>
      </c>
      <c r="B137" t="s">
        <v>541</v>
      </c>
      <c r="C137" t="s">
        <v>542</v>
      </c>
      <c r="D137" t="s">
        <v>33</v>
      </c>
      <c r="E137" t="s">
        <v>39</v>
      </c>
      <c r="F137" t="s">
        <v>48</v>
      </c>
      <c r="G137">
        <v>30</v>
      </c>
      <c r="H137" t="s">
        <v>543</v>
      </c>
      <c r="I137">
        <v>0.10460204631090164</v>
      </c>
      <c r="J137">
        <v>0.14902991056442261</v>
      </c>
      <c r="L137">
        <v>0</v>
      </c>
      <c r="O137" t="s">
        <v>81</v>
      </c>
      <c r="P137">
        <v>1</v>
      </c>
      <c r="Q137">
        <v>2000000</v>
      </c>
      <c r="R137">
        <v>2000000</v>
      </c>
      <c r="S137">
        <f t="shared" si="26"/>
        <v>0</v>
      </c>
      <c r="T137">
        <f t="shared" si="22"/>
        <v>0</v>
      </c>
      <c r="U137">
        <f t="shared" si="15"/>
        <v>0</v>
      </c>
      <c r="V137">
        <v>0</v>
      </c>
      <c r="W137">
        <f t="shared" si="16"/>
        <v>0</v>
      </c>
      <c r="X137">
        <f t="shared" si="17"/>
        <v>1</v>
      </c>
      <c r="Y137">
        <f t="shared" si="18"/>
        <v>0</v>
      </c>
      <c r="Z137">
        <f t="shared" si="19"/>
        <v>1</v>
      </c>
      <c r="AA137">
        <f t="shared" si="23"/>
        <v>1</v>
      </c>
      <c r="AB137">
        <f t="shared" si="24"/>
        <v>0</v>
      </c>
      <c r="AC137">
        <f t="shared" si="25"/>
        <v>1</v>
      </c>
      <c r="AD137">
        <f t="shared" si="20"/>
        <v>0</v>
      </c>
      <c r="AE137">
        <f t="shared" si="21"/>
        <v>0</v>
      </c>
      <c r="AF137">
        <f t="shared" si="14"/>
        <v>2000000</v>
      </c>
    </row>
    <row r="138" spans="1:32" x14ac:dyDescent="0.35">
      <c r="A138" s="1">
        <v>1</v>
      </c>
      <c r="B138" t="s">
        <v>396</v>
      </c>
      <c r="C138" t="s">
        <v>9</v>
      </c>
      <c r="D138" t="s">
        <v>45</v>
      </c>
      <c r="E138" t="s">
        <v>39</v>
      </c>
      <c r="F138" t="s">
        <v>36</v>
      </c>
      <c r="G138">
        <v>39</v>
      </c>
      <c r="H138" t="s">
        <v>397</v>
      </c>
      <c r="I138">
        <v>0.45945456624031067</v>
      </c>
      <c r="J138">
        <v>0.14225183427333832</v>
      </c>
      <c r="L138">
        <v>0</v>
      </c>
      <c r="O138" t="s">
        <v>34</v>
      </c>
      <c r="P138">
        <v>1</v>
      </c>
      <c r="Q138">
        <v>53763</v>
      </c>
      <c r="R138">
        <v>53763</v>
      </c>
      <c r="S138">
        <f t="shared" si="26"/>
        <v>0</v>
      </c>
      <c r="T138">
        <f t="shared" si="22"/>
        <v>0</v>
      </c>
      <c r="U138">
        <f t="shared" si="15"/>
        <v>1</v>
      </c>
      <c r="V138">
        <v>0</v>
      </c>
      <c r="W138">
        <f t="shared" si="16"/>
        <v>0</v>
      </c>
      <c r="X138">
        <f t="shared" si="17"/>
        <v>0</v>
      </c>
      <c r="Y138">
        <f t="shared" si="18"/>
        <v>0</v>
      </c>
      <c r="Z138">
        <f t="shared" si="19"/>
        <v>0</v>
      </c>
      <c r="AA138">
        <f t="shared" si="23"/>
        <v>0</v>
      </c>
      <c r="AB138">
        <f t="shared" si="24"/>
        <v>0</v>
      </c>
      <c r="AC138">
        <f t="shared" si="25"/>
        <v>0</v>
      </c>
      <c r="AD138">
        <f t="shared" si="20"/>
        <v>0</v>
      </c>
      <c r="AE138">
        <f t="shared" si="21"/>
        <v>0</v>
      </c>
      <c r="AF138">
        <f t="shared" si="14"/>
        <v>53763</v>
      </c>
    </row>
    <row r="139" spans="1:32" x14ac:dyDescent="0.35">
      <c r="A139" s="1">
        <v>0</v>
      </c>
      <c r="B139" t="s">
        <v>403</v>
      </c>
      <c r="C139" t="s">
        <v>9</v>
      </c>
      <c r="D139" t="s">
        <v>39</v>
      </c>
      <c r="E139" t="s">
        <v>33</v>
      </c>
      <c r="F139" t="s">
        <v>97</v>
      </c>
      <c r="G139">
        <v>35</v>
      </c>
      <c r="H139" t="s">
        <v>404</v>
      </c>
      <c r="I139">
        <v>0.42827689647674561</v>
      </c>
      <c r="J139">
        <v>0.13597886264324188</v>
      </c>
      <c r="L139">
        <v>0</v>
      </c>
      <c r="O139" t="s">
        <v>141</v>
      </c>
      <c r="P139">
        <v>1</v>
      </c>
      <c r="Q139">
        <v>1000000</v>
      </c>
      <c r="R139">
        <v>1000000</v>
      </c>
      <c r="S139">
        <f t="shared" si="26"/>
        <v>0</v>
      </c>
      <c r="T139">
        <f t="shared" si="22"/>
        <v>0</v>
      </c>
      <c r="U139">
        <f t="shared" si="15"/>
        <v>1</v>
      </c>
      <c r="V139">
        <v>0</v>
      </c>
      <c r="W139">
        <f t="shared" si="16"/>
        <v>0</v>
      </c>
      <c r="X139">
        <f t="shared" si="17"/>
        <v>0</v>
      </c>
      <c r="Y139">
        <f t="shared" si="18"/>
        <v>0</v>
      </c>
      <c r="Z139">
        <f t="shared" si="19"/>
        <v>0</v>
      </c>
      <c r="AA139">
        <f t="shared" si="23"/>
        <v>0</v>
      </c>
      <c r="AB139">
        <f t="shared" si="24"/>
        <v>0</v>
      </c>
      <c r="AC139">
        <f t="shared" si="25"/>
        <v>0</v>
      </c>
      <c r="AD139">
        <f t="shared" si="20"/>
        <v>0</v>
      </c>
      <c r="AE139">
        <f t="shared" si="21"/>
        <v>0</v>
      </c>
      <c r="AF139">
        <f t="shared" si="14"/>
        <v>1000000</v>
      </c>
    </row>
    <row r="140" spans="1:32" x14ac:dyDescent="0.35">
      <c r="A140" s="1">
        <v>0</v>
      </c>
      <c r="B140" t="s">
        <v>425</v>
      </c>
      <c r="C140" t="s">
        <v>3</v>
      </c>
      <c r="D140" t="s">
        <v>39</v>
      </c>
      <c r="E140" t="s">
        <v>39</v>
      </c>
      <c r="F140" t="s">
        <v>70</v>
      </c>
      <c r="G140">
        <v>34</v>
      </c>
      <c r="H140" t="s">
        <v>426</v>
      </c>
      <c r="I140">
        <v>0.36488145589828491</v>
      </c>
      <c r="J140">
        <v>0.13363847136497498</v>
      </c>
      <c r="L140">
        <v>0</v>
      </c>
      <c r="O140" t="s">
        <v>70</v>
      </c>
      <c r="P140">
        <v>1</v>
      </c>
      <c r="Q140">
        <v>1100000</v>
      </c>
      <c r="R140">
        <v>1100000</v>
      </c>
      <c r="S140">
        <f t="shared" si="26"/>
        <v>0</v>
      </c>
      <c r="T140">
        <f t="shared" si="22"/>
        <v>0</v>
      </c>
      <c r="U140">
        <f t="shared" si="15"/>
        <v>0</v>
      </c>
      <c r="V140">
        <v>1</v>
      </c>
      <c r="W140">
        <f t="shared" si="16"/>
        <v>0</v>
      </c>
      <c r="X140">
        <f t="shared" si="17"/>
        <v>0</v>
      </c>
      <c r="Y140">
        <f t="shared" si="18"/>
        <v>0</v>
      </c>
      <c r="Z140">
        <f t="shared" si="19"/>
        <v>0</v>
      </c>
      <c r="AA140">
        <f t="shared" si="23"/>
        <v>0</v>
      </c>
      <c r="AB140">
        <f t="shared" si="24"/>
        <v>0</v>
      </c>
      <c r="AC140">
        <f t="shared" si="25"/>
        <v>0</v>
      </c>
      <c r="AD140">
        <f t="shared" si="20"/>
        <v>0</v>
      </c>
      <c r="AE140">
        <f t="shared" si="21"/>
        <v>0</v>
      </c>
      <c r="AF140">
        <f t="shared" si="14"/>
        <v>1100000</v>
      </c>
    </row>
    <row r="141" spans="1:32" x14ac:dyDescent="0.35">
      <c r="A141" s="1">
        <v>0</v>
      </c>
      <c r="B141" t="s">
        <v>739</v>
      </c>
      <c r="C141" t="s">
        <v>740</v>
      </c>
      <c r="D141" t="s">
        <v>33</v>
      </c>
      <c r="E141" t="s">
        <v>39</v>
      </c>
      <c r="F141" t="s">
        <v>81</v>
      </c>
      <c r="G141">
        <v>33</v>
      </c>
      <c r="H141" t="s">
        <v>741</v>
      </c>
      <c r="I141">
        <v>-0.51940852403640747</v>
      </c>
      <c r="J141">
        <v>0.12648271024227142</v>
      </c>
      <c r="L141">
        <v>0</v>
      </c>
      <c r="O141" t="s">
        <v>125</v>
      </c>
      <c r="P141">
        <v>1</v>
      </c>
      <c r="Q141">
        <v>1525000</v>
      </c>
      <c r="R141">
        <v>1525000</v>
      </c>
      <c r="S141">
        <f t="shared" si="26"/>
        <v>0</v>
      </c>
      <c r="T141">
        <f t="shared" si="22"/>
        <v>0</v>
      </c>
      <c r="U141">
        <f t="shared" si="15"/>
        <v>0</v>
      </c>
      <c r="V141">
        <v>0</v>
      </c>
      <c r="W141">
        <f t="shared" si="16"/>
        <v>0</v>
      </c>
      <c r="X141">
        <f t="shared" si="17"/>
        <v>1</v>
      </c>
      <c r="Y141">
        <f t="shared" si="18"/>
        <v>0</v>
      </c>
      <c r="Z141">
        <f t="shared" si="19"/>
        <v>0</v>
      </c>
      <c r="AA141">
        <f t="shared" si="23"/>
        <v>1</v>
      </c>
      <c r="AB141">
        <f t="shared" si="24"/>
        <v>0</v>
      </c>
      <c r="AC141">
        <f t="shared" si="25"/>
        <v>1</v>
      </c>
      <c r="AD141">
        <f t="shared" si="20"/>
        <v>0</v>
      </c>
      <c r="AE141">
        <f t="shared" si="21"/>
        <v>0</v>
      </c>
      <c r="AF141">
        <f t="shared" si="14"/>
        <v>1525000</v>
      </c>
    </row>
    <row r="142" spans="1:32" x14ac:dyDescent="0.35">
      <c r="A142" s="1">
        <v>0</v>
      </c>
      <c r="B142" t="s">
        <v>447</v>
      </c>
      <c r="C142" t="s">
        <v>9</v>
      </c>
      <c r="D142" t="s">
        <v>39</v>
      </c>
      <c r="E142" t="s">
        <v>39</v>
      </c>
      <c r="F142" t="s">
        <v>184</v>
      </c>
      <c r="G142">
        <v>35</v>
      </c>
      <c r="H142" t="s">
        <v>448</v>
      </c>
      <c r="I142">
        <v>0.29568716883659363</v>
      </c>
      <c r="J142">
        <v>0.11859180778264999</v>
      </c>
      <c r="K142">
        <v>1</v>
      </c>
      <c r="L142">
        <v>3000000</v>
      </c>
      <c r="M142">
        <v>3000000</v>
      </c>
      <c r="O142" t="s">
        <v>56</v>
      </c>
      <c r="P142">
        <v>1</v>
      </c>
      <c r="Q142">
        <v>10000000</v>
      </c>
      <c r="R142">
        <v>10000000</v>
      </c>
      <c r="S142">
        <f t="shared" si="26"/>
        <v>0</v>
      </c>
      <c r="T142">
        <f t="shared" si="22"/>
        <v>0</v>
      </c>
      <c r="U142">
        <f t="shared" si="15"/>
        <v>1</v>
      </c>
      <c r="V142">
        <v>0</v>
      </c>
      <c r="W142">
        <f t="shared" si="16"/>
        <v>0</v>
      </c>
      <c r="X142">
        <f t="shared" si="17"/>
        <v>0</v>
      </c>
      <c r="Y142">
        <f t="shared" si="18"/>
        <v>0</v>
      </c>
      <c r="Z142">
        <f t="shared" si="19"/>
        <v>0</v>
      </c>
      <c r="AA142">
        <f t="shared" si="23"/>
        <v>0</v>
      </c>
      <c r="AB142">
        <f t="shared" si="24"/>
        <v>0</v>
      </c>
      <c r="AC142">
        <f t="shared" si="25"/>
        <v>0</v>
      </c>
      <c r="AD142">
        <f t="shared" si="20"/>
        <v>0</v>
      </c>
      <c r="AE142">
        <f t="shared" si="21"/>
        <v>0</v>
      </c>
      <c r="AF142">
        <f t="shared" si="14"/>
        <v>3000000</v>
      </c>
    </row>
    <row r="143" spans="1:32" x14ac:dyDescent="0.35">
      <c r="A143" s="1">
        <v>0</v>
      </c>
      <c r="B143" t="s">
        <v>698</v>
      </c>
      <c r="C143" t="s">
        <v>10</v>
      </c>
      <c r="D143" t="s">
        <v>39</v>
      </c>
      <c r="E143" t="s">
        <v>39</v>
      </c>
      <c r="F143" t="s">
        <v>40</v>
      </c>
      <c r="G143">
        <v>27</v>
      </c>
      <c r="H143" t="s">
        <v>699</v>
      </c>
      <c r="I143">
        <v>-0.25622951984405518</v>
      </c>
      <c r="J143">
        <v>0.11794913560152054</v>
      </c>
      <c r="L143">
        <v>0</v>
      </c>
      <c r="O143" t="s">
        <v>151</v>
      </c>
      <c r="P143">
        <v>1</v>
      </c>
      <c r="Q143">
        <v>1050000</v>
      </c>
      <c r="R143">
        <v>1050000</v>
      </c>
      <c r="S143">
        <f t="shared" si="26"/>
        <v>0</v>
      </c>
      <c r="T143">
        <f t="shared" si="22"/>
        <v>1</v>
      </c>
      <c r="U143">
        <f t="shared" si="15"/>
        <v>0</v>
      </c>
      <c r="V143">
        <v>0</v>
      </c>
      <c r="W143">
        <f t="shared" si="16"/>
        <v>0</v>
      </c>
      <c r="X143">
        <f t="shared" si="17"/>
        <v>0</v>
      </c>
      <c r="Y143">
        <f t="shared" si="18"/>
        <v>0</v>
      </c>
      <c r="Z143">
        <f t="shared" si="19"/>
        <v>0</v>
      </c>
      <c r="AA143">
        <f t="shared" si="23"/>
        <v>0</v>
      </c>
      <c r="AB143">
        <f t="shared" si="24"/>
        <v>0</v>
      </c>
      <c r="AC143">
        <f t="shared" si="25"/>
        <v>0</v>
      </c>
      <c r="AD143">
        <f t="shared" si="20"/>
        <v>0</v>
      </c>
      <c r="AE143">
        <f t="shared" si="21"/>
        <v>0</v>
      </c>
      <c r="AF143">
        <f t="shared" si="14"/>
        <v>1050000</v>
      </c>
    </row>
    <row r="144" spans="1:32" x14ac:dyDescent="0.35">
      <c r="A144" s="1">
        <v>0</v>
      </c>
      <c r="B144" t="s">
        <v>510</v>
      </c>
      <c r="C144" t="s">
        <v>3</v>
      </c>
      <c r="D144" t="s">
        <v>39</v>
      </c>
      <c r="E144" t="s">
        <v>39</v>
      </c>
      <c r="F144" t="s">
        <v>56</v>
      </c>
      <c r="G144">
        <v>35</v>
      </c>
      <c r="H144" t="s">
        <v>96</v>
      </c>
      <c r="I144">
        <v>0.15860511362552643</v>
      </c>
      <c r="J144">
        <v>0.11500290781259537</v>
      </c>
      <c r="L144">
        <v>0</v>
      </c>
      <c r="O144" t="s">
        <v>58</v>
      </c>
      <c r="P144">
        <v>1</v>
      </c>
      <c r="Q144">
        <v>404516</v>
      </c>
      <c r="R144">
        <v>404516</v>
      </c>
      <c r="S144">
        <f t="shared" si="26"/>
        <v>0</v>
      </c>
      <c r="T144">
        <f t="shared" si="22"/>
        <v>0</v>
      </c>
      <c r="U144">
        <f t="shared" si="15"/>
        <v>0</v>
      </c>
      <c r="V144">
        <v>1</v>
      </c>
      <c r="W144">
        <f t="shared" si="16"/>
        <v>0</v>
      </c>
      <c r="X144">
        <f t="shared" si="17"/>
        <v>0</v>
      </c>
      <c r="Y144">
        <f t="shared" si="18"/>
        <v>0</v>
      </c>
      <c r="Z144">
        <f t="shared" si="19"/>
        <v>0</v>
      </c>
      <c r="AA144">
        <f t="shared" si="23"/>
        <v>0</v>
      </c>
      <c r="AB144">
        <f t="shared" si="24"/>
        <v>0</v>
      </c>
      <c r="AC144">
        <f t="shared" si="25"/>
        <v>0</v>
      </c>
      <c r="AD144">
        <f t="shared" si="20"/>
        <v>0</v>
      </c>
      <c r="AE144">
        <f t="shared" si="21"/>
        <v>0</v>
      </c>
      <c r="AF144">
        <f t="shared" si="14"/>
        <v>404516</v>
      </c>
    </row>
    <row r="145" spans="1:32" x14ac:dyDescent="0.35">
      <c r="A145" s="1">
        <v>0</v>
      </c>
      <c r="B145" t="s">
        <v>253</v>
      </c>
      <c r="C145" t="s">
        <v>3</v>
      </c>
      <c r="D145" t="s">
        <v>39</v>
      </c>
      <c r="E145" t="s">
        <v>39</v>
      </c>
      <c r="F145" t="s">
        <v>254</v>
      </c>
      <c r="G145">
        <v>35</v>
      </c>
      <c r="H145" t="s">
        <v>255</v>
      </c>
      <c r="I145">
        <v>0.90673166513442993</v>
      </c>
      <c r="J145">
        <v>0.11341314762830734</v>
      </c>
      <c r="L145">
        <v>0</v>
      </c>
      <c r="O145" t="s">
        <v>254</v>
      </c>
      <c r="P145">
        <v>1</v>
      </c>
      <c r="Q145">
        <v>2500000</v>
      </c>
      <c r="R145">
        <v>2500000</v>
      </c>
      <c r="S145">
        <f t="shared" si="26"/>
        <v>0</v>
      </c>
      <c r="T145">
        <f t="shared" si="22"/>
        <v>0</v>
      </c>
      <c r="U145">
        <f t="shared" si="15"/>
        <v>0</v>
      </c>
      <c r="V145">
        <v>1</v>
      </c>
      <c r="W145">
        <f t="shared" si="16"/>
        <v>0</v>
      </c>
      <c r="X145">
        <f t="shared" si="17"/>
        <v>0</v>
      </c>
      <c r="Y145">
        <f t="shared" si="18"/>
        <v>0</v>
      </c>
      <c r="Z145">
        <f t="shared" si="19"/>
        <v>0</v>
      </c>
      <c r="AA145">
        <f t="shared" si="23"/>
        <v>0</v>
      </c>
      <c r="AB145">
        <f t="shared" si="24"/>
        <v>0</v>
      </c>
      <c r="AC145">
        <f t="shared" si="25"/>
        <v>0</v>
      </c>
      <c r="AD145">
        <f t="shared" si="20"/>
        <v>0</v>
      </c>
      <c r="AE145">
        <f t="shared" si="21"/>
        <v>0</v>
      </c>
      <c r="AF145">
        <f t="shared" ref="AF145:AF170" si="27">IF(M145="", R145, M145)</f>
        <v>2500000</v>
      </c>
    </row>
    <row r="146" spans="1:32" x14ac:dyDescent="0.35">
      <c r="A146" s="1">
        <v>0</v>
      </c>
      <c r="B146" t="s">
        <v>253</v>
      </c>
      <c r="C146" t="s">
        <v>3</v>
      </c>
      <c r="D146" t="s">
        <v>39</v>
      </c>
      <c r="E146" t="s">
        <v>39</v>
      </c>
      <c r="F146" t="s">
        <v>254</v>
      </c>
      <c r="G146">
        <v>35</v>
      </c>
      <c r="H146" t="s">
        <v>255</v>
      </c>
      <c r="I146">
        <v>0.90673166513442993</v>
      </c>
      <c r="J146">
        <v>0.11341314762830734</v>
      </c>
      <c r="L146">
        <v>0</v>
      </c>
      <c r="O146" t="s">
        <v>56</v>
      </c>
      <c r="P146">
        <v>1</v>
      </c>
      <c r="Q146">
        <v>367742</v>
      </c>
      <c r="R146">
        <v>367742</v>
      </c>
      <c r="S146">
        <f t="shared" si="26"/>
        <v>0</v>
      </c>
      <c r="T146">
        <f t="shared" si="22"/>
        <v>0</v>
      </c>
      <c r="U146">
        <f t="shared" si="15"/>
        <v>0</v>
      </c>
      <c r="V146">
        <v>1</v>
      </c>
      <c r="W146">
        <f t="shared" si="16"/>
        <v>0</v>
      </c>
      <c r="X146">
        <f t="shared" si="17"/>
        <v>0</v>
      </c>
      <c r="Y146">
        <f t="shared" si="18"/>
        <v>0</v>
      </c>
      <c r="Z146">
        <f t="shared" si="19"/>
        <v>0</v>
      </c>
      <c r="AA146">
        <f t="shared" si="23"/>
        <v>0</v>
      </c>
      <c r="AB146">
        <f t="shared" si="24"/>
        <v>0</v>
      </c>
      <c r="AC146">
        <f t="shared" si="25"/>
        <v>0</v>
      </c>
      <c r="AD146">
        <f t="shared" si="20"/>
        <v>0</v>
      </c>
      <c r="AE146">
        <f t="shared" si="21"/>
        <v>0</v>
      </c>
      <c r="AF146">
        <f t="shared" si="27"/>
        <v>367742</v>
      </c>
    </row>
    <row r="147" spans="1:32" x14ac:dyDescent="0.35">
      <c r="A147" s="1">
        <v>0</v>
      </c>
      <c r="B147" t="s">
        <v>371</v>
      </c>
      <c r="C147" t="s">
        <v>347</v>
      </c>
      <c r="D147" t="s">
        <v>39</v>
      </c>
      <c r="E147" t="s">
        <v>39</v>
      </c>
      <c r="F147" t="s">
        <v>125</v>
      </c>
      <c r="G147">
        <v>38</v>
      </c>
      <c r="H147" t="s">
        <v>372</v>
      </c>
      <c r="I147">
        <v>0.50709640979766846</v>
      </c>
      <c r="J147">
        <v>0.10409662872552872</v>
      </c>
      <c r="L147">
        <v>0</v>
      </c>
      <c r="O147" t="s">
        <v>125</v>
      </c>
      <c r="P147">
        <v>1</v>
      </c>
      <c r="Q147">
        <v>5000000</v>
      </c>
      <c r="R147">
        <v>5000000</v>
      </c>
      <c r="S147">
        <f t="shared" si="26"/>
        <v>0</v>
      </c>
      <c r="T147">
        <f t="shared" si="22"/>
        <v>0</v>
      </c>
      <c r="U147">
        <f t="shared" si="15"/>
        <v>0</v>
      </c>
      <c r="V147">
        <v>0</v>
      </c>
      <c r="W147">
        <f t="shared" si="16"/>
        <v>0</v>
      </c>
      <c r="X147">
        <f t="shared" si="17"/>
        <v>0</v>
      </c>
      <c r="Y147">
        <f t="shared" si="18"/>
        <v>0</v>
      </c>
      <c r="Z147">
        <f t="shared" si="19"/>
        <v>0</v>
      </c>
      <c r="AA147">
        <f t="shared" si="23"/>
        <v>0</v>
      </c>
      <c r="AB147">
        <f t="shared" si="24"/>
        <v>0</v>
      </c>
      <c r="AC147">
        <f t="shared" si="25"/>
        <v>0</v>
      </c>
      <c r="AD147">
        <f t="shared" si="20"/>
        <v>0</v>
      </c>
      <c r="AE147">
        <f t="shared" si="21"/>
        <v>1</v>
      </c>
      <c r="AF147">
        <f t="shared" si="27"/>
        <v>5000000</v>
      </c>
    </row>
    <row r="148" spans="1:32" x14ac:dyDescent="0.35">
      <c r="A148" s="1">
        <v>0</v>
      </c>
      <c r="B148" t="s">
        <v>682</v>
      </c>
      <c r="C148" t="s">
        <v>9</v>
      </c>
      <c r="D148" t="s">
        <v>33</v>
      </c>
      <c r="E148" t="s">
        <v>33</v>
      </c>
      <c r="F148" t="s">
        <v>129</v>
      </c>
      <c r="G148">
        <v>32</v>
      </c>
      <c r="H148" t="s">
        <v>683</v>
      </c>
      <c r="I148">
        <v>-0.22588562965393066</v>
      </c>
      <c r="J148">
        <v>9.2887513339519501E-2</v>
      </c>
      <c r="L148">
        <v>0</v>
      </c>
      <c r="O148" t="s">
        <v>53</v>
      </c>
      <c r="P148">
        <v>1</v>
      </c>
      <c r="Q148">
        <v>1000000</v>
      </c>
      <c r="R148">
        <v>1000000</v>
      </c>
      <c r="S148">
        <f t="shared" si="26"/>
        <v>0</v>
      </c>
      <c r="T148">
        <f t="shared" si="22"/>
        <v>0</v>
      </c>
      <c r="U148">
        <f t="shared" si="15"/>
        <v>1</v>
      </c>
      <c r="V148">
        <v>0</v>
      </c>
      <c r="W148">
        <f t="shared" si="16"/>
        <v>0</v>
      </c>
      <c r="X148">
        <f t="shared" si="17"/>
        <v>0</v>
      </c>
      <c r="Y148">
        <f t="shared" si="18"/>
        <v>0</v>
      </c>
      <c r="Z148">
        <f t="shared" si="19"/>
        <v>0</v>
      </c>
      <c r="AA148">
        <f t="shared" si="23"/>
        <v>0</v>
      </c>
      <c r="AB148">
        <f t="shared" si="24"/>
        <v>0</v>
      </c>
      <c r="AC148">
        <f t="shared" si="25"/>
        <v>0</v>
      </c>
      <c r="AD148">
        <f t="shared" si="20"/>
        <v>0</v>
      </c>
      <c r="AE148">
        <f t="shared" si="21"/>
        <v>0</v>
      </c>
      <c r="AF148">
        <f t="shared" si="27"/>
        <v>1000000</v>
      </c>
    </row>
    <row r="149" spans="1:32" x14ac:dyDescent="0.35">
      <c r="A149" s="1">
        <v>0</v>
      </c>
      <c r="B149" t="s">
        <v>639</v>
      </c>
      <c r="C149" t="s">
        <v>9</v>
      </c>
      <c r="D149" t="s">
        <v>33</v>
      </c>
      <c r="E149" t="s">
        <v>33</v>
      </c>
      <c r="F149" t="s">
        <v>34</v>
      </c>
      <c r="G149">
        <v>33</v>
      </c>
      <c r="H149" t="s">
        <v>640</v>
      </c>
      <c r="I149">
        <v>-0.13033147156238556</v>
      </c>
      <c r="J149">
        <v>8.9233413338661194E-2</v>
      </c>
      <c r="L149">
        <v>0</v>
      </c>
      <c r="O149" t="s">
        <v>125</v>
      </c>
      <c r="P149">
        <v>1</v>
      </c>
      <c r="Q149">
        <v>1150000</v>
      </c>
      <c r="R149">
        <v>1150000</v>
      </c>
      <c r="S149">
        <f t="shared" si="26"/>
        <v>0</v>
      </c>
      <c r="T149">
        <f t="shared" si="22"/>
        <v>0</v>
      </c>
      <c r="U149">
        <f t="shared" si="15"/>
        <v>1</v>
      </c>
      <c r="V149">
        <v>0</v>
      </c>
      <c r="W149">
        <f t="shared" si="16"/>
        <v>0</v>
      </c>
      <c r="X149">
        <f t="shared" si="17"/>
        <v>0</v>
      </c>
      <c r="Y149">
        <f t="shared" si="18"/>
        <v>0</v>
      </c>
      <c r="Z149">
        <f t="shared" si="19"/>
        <v>0</v>
      </c>
      <c r="AA149">
        <f t="shared" si="23"/>
        <v>0</v>
      </c>
      <c r="AB149">
        <f t="shared" si="24"/>
        <v>0</v>
      </c>
      <c r="AC149">
        <f t="shared" si="25"/>
        <v>0</v>
      </c>
      <c r="AD149">
        <f t="shared" si="20"/>
        <v>0</v>
      </c>
      <c r="AE149">
        <f t="shared" si="21"/>
        <v>0</v>
      </c>
      <c r="AF149">
        <f t="shared" si="27"/>
        <v>1150000</v>
      </c>
    </row>
    <row r="150" spans="1:32" x14ac:dyDescent="0.35">
      <c r="A150" s="1">
        <v>0</v>
      </c>
      <c r="B150" t="s">
        <v>692</v>
      </c>
      <c r="C150" t="s">
        <v>273</v>
      </c>
      <c r="D150" t="s">
        <v>33</v>
      </c>
      <c r="E150" t="s">
        <v>39</v>
      </c>
      <c r="F150" t="s">
        <v>97</v>
      </c>
      <c r="G150">
        <v>34</v>
      </c>
      <c r="H150" t="s">
        <v>693</v>
      </c>
      <c r="I150">
        <v>-0.24523861706256866</v>
      </c>
      <c r="J150">
        <v>8.315015584230423E-2</v>
      </c>
      <c r="L150">
        <v>0</v>
      </c>
      <c r="O150" t="s">
        <v>151</v>
      </c>
      <c r="P150">
        <v>1</v>
      </c>
      <c r="Q150">
        <v>69892</v>
      </c>
      <c r="R150">
        <v>69892</v>
      </c>
      <c r="S150">
        <f t="shared" si="26"/>
        <v>0</v>
      </c>
      <c r="T150">
        <f t="shared" si="22"/>
        <v>0</v>
      </c>
      <c r="U150">
        <f t="shared" si="15"/>
        <v>0</v>
      </c>
      <c r="V150">
        <v>0</v>
      </c>
      <c r="W150">
        <f t="shared" si="16"/>
        <v>0</v>
      </c>
      <c r="X150">
        <f t="shared" si="17"/>
        <v>0</v>
      </c>
      <c r="Y150">
        <f t="shared" si="18"/>
        <v>0</v>
      </c>
      <c r="Z150">
        <f t="shared" si="19"/>
        <v>0</v>
      </c>
      <c r="AA150">
        <f t="shared" si="23"/>
        <v>1</v>
      </c>
      <c r="AB150">
        <f t="shared" si="24"/>
        <v>1</v>
      </c>
      <c r="AC150">
        <f t="shared" si="25"/>
        <v>1</v>
      </c>
      <c r="AD150">
        <f t="shared" si="20"/>
        <v>0</v>
      </c>
      <c r="AE150">
        <f t="shared" si="21"/>
        <v>0</v>
      </c>
      <c r="AF150">
        <f t="shared" si="27"/>
        <v>69892</v>
      </c>
    </row>
    <row r="151" spans="1:32" x14ac:dyDescent="0.35">
      <c r="A151" s="1">
        <v>0</v>
      </c>
      <c r="B151" t="s">
        <v>555</v>
      </c>
      <c r="C151" t="s">
        <v>9</v>
      </c>
      <c r="D151" t="s">
        <v>39</v>
      </c>
      <c r="E151" t="s">
        <v>39</v>
      </c>
      <c r="F151" t="s">
        <v>51</v>
      </c>
      <c r="G151">
        <v>36</v>
      </c>
      <c r="H151" t="s">
        <v>556</v>
      </c>
      <c r="I151">
        <v>4.3525613844394684E-2</v>
      </c>
      <c r="J151">
        <v>7.9020969569683075E-2</v>
      </c>
      <c r="L151">
        <v>0</v>
      </c>
      <c r="O151" t="s">
        <v>48</v>
      </c>
      <c r="P151">
        <v>1</v>
      </c>
      <c r="Q151">
        <v>75269</v>
      </c>
      <c r="R151">
        <v>75269</v>
      </c>
      <c r="S151">
        <f t="shared" si="26"/>
        <v>0</v>
      </c>
      <c r="T151">
        <f t="shared" si="22"/>
        <v>0</v>
      </c>
      <c r="U151">
        <f t="shared" ref="U151:U170" si="28">IF(ISNUMBER(SEARCH("RP", $C151)), 1, 0)</f>
        <v>1</v>
      </c>
      <c r="V151">
        <v>0</v>
      </c>
      <c r="W151">
        <f t="shared" ref="W151:W170" si="29">IF(ISNUMBER(SEARCH("1B", $C151)), 1, 0)</f>
        <v>0</v>
      </c>
      <c r="X151">
        <f t="shared" ref="X151:X170" si="30">IF(ISNUMBER(SEARCH("2B", $C151)), 1, 0)</f>
        <v>0</v>
      </c>
      <c r="Y151">
        <f t="shared" ref="Y151:Y170" si="31">IF(ISNUMBER(SEARCH("SS", $C151)), 1, 0)</f>
        <v>0</v>
      </c>
      <c r="Z151">
        <f t="shared" ref="Z151:Z170" si="32">IF(ISNUMBER(SEARCH("3B", $C151)), 1, 0)</f>
        <v>0</v>
      </c>
      <c r="AA151">
        <f t="shared" si="23"/>
        <v>0</v>
      </c>
      <c r="AB151">
        <f t="shared" si="24"/>
        <v>0</v>
      </c>
      <c r="AC151">
        <f t="shared" si="25"/>
        <v>0</v>
      </c>
      <c r="AD151">
        <f t="shared" ref="AD151:AD170" si="33">IF(ISNUMBER(SEARCH("OF", $C151)), 1, 0)</f>
        <v>0</v>
      </c>
      <c r="AE151">
        <f t="shared" ref="AE151:AE170" si="34">IF(ISNUMBER(SEARCH("DH", $C151)), 1, 0)</f>
        <v>0</v>
      </c>
      <c r="AF151">
        <f t="shared" si="27"/>
        <v>75269</v>
      </c>
    </row>
    <row r="152" spans="1:32" x14ac:dyDescent="0.35">
      <c r="A152" s="1">
        <v>0</v>
      </c>
      <c r="B152" t="s">
        <v>776</v>
      </c>
      <c r="C152" t="s">
        <v>364</v>
      </c>
      <c r="D152" t="s">
        <v>33</v>
      </c>
      <c r="E152" t="s">
        <v>33</v>
      </c>
      <c r="F152" t="s">
        <v>151</v>
      </c>
      <c r="G152">
        <v>29</v>
      </c>
      <c r="H152" t="s">
        <v>777</v>
      </c>
      <c r="I152">
        <v>-0.82241135835647583</v>
      </c>
      <c r="J152">
        <v>7.8812338411808014E-2</v>
      </c>
      <c r="L152">
        <v>0</v>
      </c>
      <c r="O152" t="s">
        <v>46</v>
      </c>
      <c r="P152">
        <v>1</v>
      </c>
      <c r="Q152">
        <v>1600000</v>
      </c>
      <c r="R152">
        <v>1600000</v>
      </c>
      <c r="S152">
        <f t="shared" si="26"/>
        <v>0</v>
      </c>
      <c r="T152">
        <f t="shared" ref="T152:T170" si="35">IF(ISNUMBER(SEARCH("SP", $C152)), 1, 0)</f>
        <v>0</v>
      </c>
      <c r="U152">
        <f t="shared" si="28"/>
        <v>0</v>
      </c>
      <c r="V152">
        <v>0</v>
      </c>
      <c r="W152">
        <f t="shared" si="29"/>
        <v>1</v>
      </c>
      <c r="X152">
        <f t="shared" si="30"/>
        <v>0</v>
      </c>
      <c r="Y152">
        <f t="shared" si="31"/>
        <v>0</v>
      </c>
      <c r="Z152">
        <f t="shared" si="32"/>
        <v>0</v>
      </c>
      <c r="AA152">
        <f t="shared" ref="AA152:AA170" si="36">IF($AD152=1, 1, IF(ISNUMBER(SEARCH("LF", $C152)), 1, 0))</f>
        <v>1</v>
      </c>
      <c r="AB152">
        <f t="shared" ref="AB152:AB170" si="37">IF($AD152=1, 1, IF(ISNUMBER(SEARCH("CF", $C152)), 1, 0))</f>
        <v>0</v>
      </c>
      <c r="AC152">
        <f t="shared" ref="AC152:AC170" si="38">IF($AD152=1, 1, IF(ISNUMBER(SEARCH("RF", $C152)), 1, 0))</f>
        <v>1</v>
      </c>
      <c r="AD152">
        <f t="shared" si="33"/>
        <v>0</v>
      </c>
      <c r="AE152">
        <f t="shared" si="34"/>
        <v>0</v>
      </c>
      <c r="AF152">
        <f t="shared" si="27"/>
        <v>1600000</v>
      </c>
    </row>
    <row r="153" spans="1:32" x14ac:dyDescent="0.35">
      <c r="A153" s="1">
        <v>0</v>
      </c>
      <c r="B153" t="s">
        <v>821</v>
      </c>
      <c r="C153" t="s">
        <v>9</v>
      </c>
      <c r="D153" t="s">
        <v>39</v>
      </c>
      <c r="E153" t="s">
        <v>39</v>
      </c>
      <c r="F153" t="s">
        <v>51</v>
      </c>
      <c r="G153">
        <v>34</v>
      </c>
      <c r="H153" t="s">
        <v>822</v>
      </c>
      <c r="J153">
        <v>7.1345821022987366E-2</v>
      </c>
      <c r="L153">
        <v>0</v>
      </c>
      <c r="O153" t="s">
        <v>58</v>
      </c>
      <c r="P153">
        <v>1</v>
      </c>
      <c r="Q153">
        <v>1350000</v>
      </c>
      <c r="R153">
        <v>1350000</v>
      </c>
      <c r="S153">
        <f t="shared" si="26"/>
        <v>0</v>
      </c>
      <c r="T153">
        <f t="shared" si="35"/>
        <v>0</v>
      </c>
      <c r="U153">
        <f t="shared" si="28"/>
        <v>1</v>
      </c>
      <c r="V153">
        <v>0</v>
      </c>
      <c r="W153">
        <f t="shared" si="29"/>
        <v>0</v>
      </c>
      <c r="X153">
        <f t="shared" si="30"/>
        <v>0</v>
      </c>
      <c r="Y153">
        <f t="shared" si="31"/>
        <v>0</v>
      </c>
      <c r="Z153">
        <f t="shared" si="32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3"/>
        <v>0</v>
      </c>
      <c r="AE153">
        <f t="shared" si="34"/>
        <v>0</v>
      </c>
      <c r="AF153">
        <f t="shared" si="27"/>
        <v>1350000</v>
      </c>
    </row>
    <row r="154" spans="1:32" x14ac:dyDescent="0.35">
      <c r="A154" s="1">
        <v>0</v>
      </c>
      <c r="B154" t="s">
        <v>444</v>
      </c>
      <c r="C154" t="s">
        <v>9</v>
      </c>
      <c r="D154" t="s">
        <v>33</v>
      </c>
      <c r="E154" t="s">
        <v>33</v>
      </c>
      <c r="F154" t="s">
        <v>36</v>
      </c>
      <c r="G154">
        <v>37</v>
      </c>
      <c r="H154" t="s">
        <v>445</v>
      </c>
      <c r="I154">
        <v>0.30086380243301392</v>
      </c>
      <c r="J154">
        <v>6.8564809858798981E-2</v>
      </c>
      <c r="K154">
        <v>1</v>
      </c>
      <c r="L154">
        <v>4000000</v>
      </c>
      <c r="M154">
        <v>4000000</v>
      </c>
      <c r="O154" t="s">
        <v>36</v>
      </c>
      <c r="P154">
        <v>1</v>
      </c>
      <c r="Q154">
        <v>1850000</v>
      </c>
      <c r="R154">
        <v>1850000</v>
      </c>
      <c r="S154">
        <f t="shared" si="26"/>
        <v>0</v>
      </c>
      <c r="T154">
        <f t="shared" si="35"/>
        <v>0</v>
      </c>
      <c r="U154">
        <f t="shared" si="28"/>
        <v>1</v>
      </c>
      <c r="V154">
        <v>0</v>
      </c>
      <c r="W154">
        <f t="shared" si="29"/>
        <v>0</v>
      </c>
      <c r="X154">
        <f t="shared" si="30"/>
        <v>0</v>
      </c>
      <c r="Y154">
        <f t="shared" si="31"/>
        <v>0</v>
      </c>
      <c r="Z154">
        <f t="shared" si="32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3"/>
        <v>0</v>
      </c>
      <c r="AE154">
        <f t="shared" si="34"/>
        <v>0</v>
      </c>
      <c r="AF154">
        <f t="shared" si="27"/>
        <v>4000000</v>
      </c>
    </row>
    <row r="155" spans="1:32" x14ac:dyDescent="0.35">
      <c r="A155" s="1">
        <v>0</v>
      </c>
      <c r="B155" t="s">
        <v>764</v>
      </c>
      <c r="C155" t="s">
        <v>3</v>
      </c>
      <c r="D155" t="s">
        <v>39</v>
      </c>
      <c r="E155" t="s">
        <v>39</v>
      </c>
      <c r="F155" t="s">
        <v>70</v>
      </c>
      <c r="G155">
        <v>34</v>
      </c>
      <c r="H155" t="s">
        <v>765</v>
      </c>
      <c r="I155">
        <v>-0.69027155637741089</v>
      </c>
      <c r="J155">
        <v>6.6669568419456482E-2</v>
      </c>
      <c r="L155">
        <v>0</v>
      </c>
      <c r="O155" t="s">
        <v>81</v>
      </c>
      <c r="P155">
        <v>1</v>
      </c>
      <c r="Q155">
        <v>1182796</v>
      </c>
      <c r="R155">
        <v>1182796</v>
      </c>
      <c r="S155">
        <f t="shared" si="26"/>
        <v>0</v>
      </c>
      <c r="T155">
        <f t="shared" si="35"/>
        <v>0</v>
      </c>
      <c r="U155">
        <f t="shared" si="28"/>
        <v>0</v>
      </c>
      <c r="V155">
        <v>1</v>
      </c>
      <c r="W155">
        <f t="shared" si="29"/>
        <v>0</v>
      </c>
      <c r="X155">
        <f t="shared" si="30"/>
        <v>0</v>
      </c>
      <c r="Y155">
        <f t="shared" si="31"/>
        <v>0</v>
      </c>
      <c r="Z155">
        <f t="shared" si="32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3"/>
        <v>0</v>
      </c>
      <c r="AE155">
        <f t="shared" si="34"/>
        <v>0</v>
      </c>
      <c r="AF155">
        <f t="shared" si="27"/>
        <v>1182796</v>
      </c>
    </row>
    <row r="156" spans="1:32" x14ac:dyDescent="0.35">
      <c r="A156" s="1">
        <v>0</v>
      </c>
      <c r="B156" t="s">
        <v>538</v>
      </c>
      <c r="C156" t="s">
        <v>9</v>
      </c>
      <c r="D156" t="s">
        <v>39</v>
      </c>
      <c r="E156" t="s">
        <v>39</v>
      </c>
      <c r="F156" t="s">
        <v>36</v>
      </c>
      <c r="G156">
        <v>32</v>
      </c>
      <c r="H156" t="s">
        <v>539</v>
      </c>
      <c r="I156">
        <v>0.10687315464019775</v>
      </c>
      <c r="J156">
        <v>6.5068893134593964E-2</v>
      </c>
      <c r="L156">
        <v>0</v>
      </c>
      <c r="O156" t="s">
        <v>184</v>
      </c>
      <c r="P156">
        <v>1</v>
      </c>
      <c r="Q156">
        <v>2000000</v>
      </c>
      <c r="R156">
        <v>2000000</v>
      </c>
      <c r="S156">
        <f t="shared" si="26"/>
        <v>0</v>
      </c>
      <c r="T156">
        <f t="shared" si="35"/>
        <v>0</v>
      </c>
      <c r="U156">
        <f t="shared" si="28"/>
        <v>1</v>
      </c>
      <c r="V156">
        <v>0</v>
      </c>
      <c r="W156">
        <f t="shared" si="29"/>
        <v>0</v>
      </c>
      <c r="X156">
        <f t="shared" si="30"/>
        <v>0</v>
      </c>
      <c r="Y156">
        <f t="shared" si="31"/>
        <v>0</v>
      </c>
      <c r="Z156">
        <f t="shared" si="32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3"/>
        <v>0</v>
      </c>
      <c r="AE156">
        <f t="shared" si="34"/>
        <v>0</v>
      </c>
      <c r="AF156">
        <f t="shared" si="27"/>
        <v>2000000</v>
      </c>
    </row>
    <row r="157" spans="1:32" x14ac:dyDescent="0.35">
      <c r="A157" s="1">
        <v>0</v>
      </c>
      <c r="B157" t="s">
        <v>824</v>
      </c>
      <c r="C157" t="s">
        <v>10</v>
      </c>
      <c r="D157" t="s">
        <v>33</v>
      </c>
      <c r="E157" t="s">
        <v>33</v>
      </c>
      <c r="F157" t="s">
        <v>825</v>
      </c>
      <c r="G157">
        <v>32</v>
      </c>
      <c r="H157" t="s">
        <v>826</v>
      </c>
      <c r="J157">
        <v>6.3840761780738831E-2</v>
      </c>
      <c r="K157">
        <v>2</v>
      </c>
      <c r="L157">
        <v>14500000</v>
      </c>
      <c r="M157">
        <v>7250000</v>
      </c>
      <c r="O157" t="s">
        <v>46</v>
      </c>
      <c r="P157">
        <v>1</v>
      </c>
      <c r="Q157">
        <v>1500000</v>
      </c>
      <c r="R157">
        <v>1500000</v>
      </c>
      <c r="S157">
        <f t="shared" si="26"/>
        <v>0</v>
      </c>
      <c r="T157">
        <f t="shared" si="35"/>
        <v>1</v>
      </c>
      <c r="U157">
        <f t="shared" si="28"/>
        <v>0</v>
      </c>
      <c r="V157">
        <v>0</v>
      </c>
      <c r="W157">
        <f t="shared" si="29"/>
        <v>0</v>
      </c>
      <c r="X157">
        <f t="shared" si="30"/>
        <v>0</v>
      </c>
      <c r="Y157">
        <f t="shared" si="31"/>
        <v>0</v>
      </c>
      <c r="Z157">
        <f t="shared" si="32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3"/>
        <v>0</v>
      </c>
      <c r="AE157">
        <f t="shared" si="34"/>
        <v>0</v>
      </c>
      <c r="AF157">
        <f t="shared" si="27"/>
        <v>7250000</v>
      </c>
    </row>
    <row r="158" spans="1:32" x14ac:dyDescent="0.35">
      <c r="A158" s="1">
        <v>0</v>
      </c>
      <c r="B158" t="s">
        <v>794</v>
      </c>
      <c r="C158" t="s">
        <v>273</v>
      </c>
      <c r="D158" t="s">
        <v>39</v>
      </c>
      <c r="E158" t="s">
        <v>39</v>
      </c>
      <c r="F158" t="s">
        <v>125</v>
      </c>
      <c r="G158">
        <v>28</v>
      </c>
      <c r="H158" t="s">
        <v>795</v>
      </c>
      <c r="I158">
        <v>-1.0844602584838867</v>
      </c>
      <c r="J158">
        <v>6.0694601386785507E-2</v>
      </c>
      <c r="L158">
        <v>0</v>
      </c>
      <c r="O158" t="s">
        <v>48</v>
      </c>
      <c r="P158">
        <v>1</v>
      </c>
      <c r="Q158">
        <v>860000</v>
      </c>
      <c r="R158">
        <v>860000</v>
      </c>
      <c r="S158">
        <f t="shared" si="26"/>
        <v>0</v>
      </c>
      <c r="T158">
        <f t="shared" si="35"/>
        <v>0</v>
      </c>
      <c r="U158">
        <f t="shared" si="28"/>
        <v>0</v>
      </c>
      <c r="V158">
        <v>0</v>
      </c>
      <c r="W158">
        <f t="shared" si="29"/>
        <v>0</v>
      </c>
      <c r="X158">
        <f t="shared" si="30"/>
        <v>0</v>
      </c>
      <c r="Y158">
        <f t="shared" si="31"/>
        <v>0</v>
      </c>
      <c r="Z158">
        <f t="shared" si="32"/>
        <v>0</v>
      </c>
      <c r="AA158">
        <f t="shared" si="36"/>
        <v>1</v>
      </c>
      <c r="AB158">
        <f t="shared" si="37"/>
        <v>1</v>
      </c>
      <c r="AC158">
        <f t="shared" si="38"/>
        <v>1</v>
      </c>
      <c r="AD158">
        <f t="shared" si="33"/>
        <v>0</v>
      </c>
      <c r="AE158">
        <f t="shared" si="34"/>
        <v>0</v>
      </c>
      <c r="AF158">
        <f t="shared" si="27"/>
        <v>860000</v>
      </c>
    </row>
    <row r="159" spans="1:32" x14ac:dyDescent="0.35">
      <c r="A159" s="1">
        <v>0</v>
      </c>
      <c r="B159" t="s">
        <v>689</v>
      </c>
      <c r="C159" t="s">
        <v>9</v>
      </c>
      <c r="D159" t="s">
        <v>33</v>
      </c>
      <c r="E159" t="s">
        <v>33</v>
      </c>
      <c r="F159" t="s">
        <v>100</v>
      </c>
      <c r="G159">
        <v>33</v>
      </c>
      <c r="H159" t="s">
        <v>690</v>
      </c>
      <c r="I159">
        <v>-0.2403220534324646</v>
      </c>
      <c r="J159">
        <v>5.2799146622419357E-2</v>
      </c>
      <c r="L159">
        <v>0</v>
      </c>
      <c r="O159" t="s">
        <v>51</v>
      </c>
      <c r="P159">
        <v>1</v>
      </c>
      <c r="Q159">
        <v>1200000</v>
      </c>
      <c r="R159">
        <v>1200000</v>
      </c>
      <c r="S159">
        <f t="shared" si="26"/>
        <v>0</v>
      </c>
      <c r="T159">
        <f t="shared" si="35"/>
        <v>0</v>
      </c>
      <c r="U159">
        <f t="shared" si="28"/>
        <v>1</v>
      </c>
      <c r="V159">
        <v>0</v>
      </c>
      <c r="W159">
        <f t="shared" si="29"/>
        <v>0</v>
      </c>
      <c r="X159">
        <f t="shared" si="30"/>
        <v>0</v>
      </c>
      <c r="Y159">
        <f t="shared" si="31"/>
        <v>0</v>
      </c>
      <c r="Z159">
        <f t="shared" si="32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3"/>
        <v>0</v>
      </c>
      <c r="AE159">
        <f t="shared" si="34"/>
        <v>0</v>
      </c>
      <c r="AF159">
        <f t="shared" si="27"/>
        <v>1200000</v>
      </c>
    </row>
    <row r="160" spans="1:32" x14ac:dyDescent="0.35">
      <c r="A160" s="1">
        <v>0</v>
      </c>
      <c r="B160" t="s">
        <v>346</v>
      </c>
      <c r="C160" t="s">
        <v>347</v>
      </c>
      <c r="D160" t="s">
        <v>39</v>
      </c>
      <c r="E160" t="s">
        <v>39</v>
      </c>
      <c r="F160" t="s">
        <v>36</v>
      </c>
      <c r="G160">
        <v>37</v>
      </c>
      <c r="H160" t="s">
        <v>348</v>
      </c>
      <c r="I160">
        <v>0.5915982723236084</v>
      </c>
      <c r="J160">
        <v>5.1865734159946442E-2</v>
      </c>
      <c r="K160">
        <v>1</v>
      </c>
      <c r="L160">
        <v>9000000</v>
      </c>
      <c r="M160">
        <v>9000000</v>
      </c>
      <c r="S160">
        <f t="shared" si="26"/>
        <v>0</v>
      </c>
      <c r="T160">
        <f t="shared" si="35"/>
        <v>0</v>
      </c>
      <c r="U160">
        <f t="shared" si="28"/>
        <v>0</v>
      </c>
      <c r="V160">
        <v>0</v>
      </c>
      <c r="W160">
        <f t="shared" si="29"/>
        <v>0</v>
      </c>
      <c r="X160">
        <f t="shared" si="30"/>
        <v>0</v>
      </c>
      <c r="Y160">
        <f t="shared" si="31"/>
        <v>0</v>
      </c>
      <c r="Z160">
        <f t="shared" si="32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3"/>
        <v>0</v>
      </c>
      <c r="AE160">
        <f t="shared" si="34"/>
        <v>1</v>
      </c>
      <c r="AF160">
        <f t="shared" si="27"/>
        <v>9000000</v>
      </c>
    </row>
    <row r="161" spans="1:32" x14ac:dyDescent="0.35">
      <c r="A161" s="1">
        <v>0</v>
      </c>
      <c r="B161" t="s">
        <v>753</v>
      </c>
      <c r="C161" t="s">
        <v>10</v>
      </c>
      <c r="D161" t="s">
        <v>39</v>
      </c>
      <c r="E161" t="s">
        <v>33</v>
      </c>
      <c r="F161" t="s">
        <v>110</v>
      </c>
      <c r="G161">
        <v>30</v>
      </c>
      <c r="H161" t="s">
        <v>728</v>
      </c>
      <c r="I161">
        <v>-0.56611722707748413</v>
      </c>
      <c r="J161">
        <v>4.6464964747428894E-2</v>
      </c>
      <c r="L161">
        <v>0</v>
      </c>
      <c r="O161" t="s">
        <v>40</v>
      </c>
      <c r="P161">
        <v>1</v>
      </c>
      <c r="Q161">
        <v>1000000</v>
      </c>
      <c r="R161">
        <v>1000000</v>
      </c>
      <c r="S161">
        <f t="shared" si="26"/>
        <v>0</v>
      </c>
      <c r="T161">
        <f t="shared" si="35"/>
        <v>1</v>
      </c>
      <c r="U161">
        <f t="shared" si="28"/>
        <v>0</v>
      </c>
      <c r="V161">
        <v>0</v>
      </c>
      <c r="W161">
        <f t="shared" si="29"/>
        <v>0</v>
      </c>
      <c r="X161">
        <f t="shared" si="30"/>
        <v>0</v>
      </c>
      <c r="Y161">
        <f t="shared" si="31"/>
        <v>0</v>
      </c>
      <c r="Z161">
        <f t="shared" si="32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3"/>
        <v>0</v>
      </c>
      <c r="AE161">
        <f t="shared" si="34"/>
        <v>0</v>
      </c>
      <c r="AF161">
        <f t="shared" si="27"/>
        <v>1000000</v>
      </c>
    </row>
    <row r="162" spans="1:32" x14ac:dyDescent="0.35">
      <c r="A162" s="1">
        <v>0</v>
      </c>
      <c r="B162" t="s">
        <v>753</v>
      </c>
      <c r="C162" t="s">
        <v>10</v>
      </c>
      <c r="D162" t="s">
        <v>39</v>
      </c>
      <c r="E162" t="s">
        <v>33</v>
      </c>
      <c r="F162" t="s">
        <v>110</v>
      </c>
      <c r="G162">
        <v>30</v>
      </c>
      <c r="H162" t="s">
        <v>728</v>
      </c>
      <c r="I162">
        <v>-0.56611722707748413</v>
      </c>
      <c r="J162">
        <v>4.6464964747428894E-2</v>
      </c>
      <c r="L162">
        <v>0</v>
      </c>
      <c r="O162" t="s">
        <v>151</v>
      </c>
      <c r="P162">
        <v>1</v>
      </c>
      <c r="Q162">
        <v>461720</v>
      </c>
      <c r="R162">
        <v>461720</v>
      </c>
      <c r="S162">
        <f t="shared" si="26"/>
        <v>0</v>
      </c>
      <c r="T162">
        <f t="shared" si="35"/>
        <v>1</v>
      </c>
      <c r="U162">
        <f t="shared" si="28"/>
        <v>0</v>
      </c>
      <c r="V162">
        <v>0</v>
      </c>
      <c r="W162">
        <f t="shared" si="29"/>
        <v>0</v>
      </c>
      <c r="X162">
        <f t="shared" si="30"/>
        <v>0</v>
      </c>
      <c r="Y162">
        <f t="shared" si="31"/>
        <v>0</v>
      </c>
      <c r="Z162">
        <f t="shared" si="32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3"/>
        <v>0</v>
      </c>
      <c r="AE162">
        <f t="shared" si="34"/>
        <v>0</v>
      </c>
      <c r="AF162">
        <f t="shared" si="27"/>
        <v>461720</v>
      </c>
    </row>
    <row r="163" spans="1:32" x14ac:dyDescent="0.35">
      <c r="A163" s="1">
        <v>0</v>
      </c>
      <c r="B163" t="s">
        <v>642</v>
      </c>
      <c r="C163" t="s">
        <v>10</v>
      </c>
      <c r="D163" t="s">
        <v>39</v>
      </c>
      <c r="E163" t="s">
        <v>39</v>
      </c>
      <c r="F163" t="s">
        <v>36</v>
      </c>
      <c r="G163">
        <v>32</v>
      </c>
      <c r="H163" t="s">
        <v>643</v>
      </c>
      <c r="I163">
        <v>-0.14314869046211243</v>
      </c>
      <c r="J163">
        <v>4.3546851724386215E-2</v>
      </c>
      <c r="L163">
        <v>0</v>
      </c>
      <c r="O163" t="s">
        <v>151</v>
      </c>
      <c r="P163">
        <v>1</v>
      </c>
      <c r="Q163">
        <v>958065</v>
      </c>
      <c r="R163">
        <v>958065</v>
      </c>
      <c r="S163">
        <f t="shared" si="26"/>
        <v>0</v>
      </c>
      <c r="T163">
        <f t="shared" si="35"/>
        <v>1</v>
      </c>
      <c r="U163">
        <f t="shared" si="28"/>
        <v>0</v>
      </c>
      <c r="V163">
        <v>0</v>
      </c>
      <c r="W163">
        <f t="shared" si="29"/>
        <v>0</v>
      </c>
      <c r="X163">
        <f t="shared" si="30"/>
        <v>0</v>
      </c>
      <c r="Y163">
        <f t="shared" si="31"/>
        <v>0</v>
      </c>
      <c r="Z163">
        <f t="shared" si="32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3"/>
        <v>0</v>
      </c>
      <c r="AE163">
        <f t="shared" si="34"/>
        <v>0</v>
      </c>
      <c r="AF163">
        <f t="shared" si="27"/>
        <v>958065</v>
      </c>
    </row>
    <row r="164" spans="1:32" x14ac:dyDescent="0.35">
      <c r="A164" s="1">
        <v>0</v>
      </c>
      <c r="B164" t="s">
        <v>318</v>
      </c>
      <c r="C164" t="s">
        <v>9</v>
      </c>
      <c r="D164" t="s">
        <v>39</v>
      </c>
      <c r="E164" t="s">
        <v>39</v>
      </c>
      <c r="F164" t="s">
        <v>56</v>
      </c>
      <c r="G164">
        <v>31</v>
      </c>
      <c r="H164" t="s">
        <v>319</v>
      </c>
      <c r="I164">
        <v>0.6643909215927124</v>
      </c>
      <c r="J164">
        <v>3.1041212379932404E-2</v>
      </c>
      <c r="L164">
        <v>0</v>
      </c>
      <c r="O164" t="s">
        <v>97</v>
      </c>
      <c r="P164">
        <v>1</v>
      </c>
      <c r="Q164">
        <v>1250000</v>
      </c>
      <c r="R164">
        <v>1250000</v>
      </c>
      <c r="S164">
        <f t="shared" si="26"/>
        <v>0</v>
      </c>
      <c r="T164">
        <f t="shared" si="35"/>
        <v>0</v>
      </c>
      <c r="U164">
        <f t="shared" si="28"/>
        <v>1</v>
      </c>
      <c r="V164">
        <v>0</v>
      </c>
      <c r="W164">
        <f t="shared" si="29"/>
        <v>0</v>
      </c>
      <c r="X164">
        <f t="shared" si="30"/>
        <v>0</v>
      </c>
      <c r="Y164">
        <f t="shared" si="31"/>
        <v>0</v>
      </c>
      <c r="Z164">
        <f t="shared" si="32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3"/>
        <v>0</v>
      </c>
      <c r="AE164">
        <f t="shared" si="34"/>
        <v>0</v>
      </c>
      <c r="AF164">
        <f t="shared" si="27"/>
        <v>1250000</v>
      </c>
    </row>
    <row r="165" spans="1:32" x14ac:dyDescent="0.35">
      <c r="A165" s="1">
        <v>0</v>
      </c>
      <c r="B165" t="s">
        <v>636</v>
      </c>
      <c r="C165" t="s">
        <v>10</v>
      </c>
      <c r="D165" t="s">
        <v>39</v>
      </c>
      <c r="E165" t="s">
        <v>39</v>
      </c>
      <c r="F165" t="s">
        <v>151</v>
      </c>
      <c r="G165">
        <v>34</v>
      </c>
      <c r="H165" t="s">
        <v>637</v>
      </c>
      <c r="I165">
        <v>-0.12141888588666916</v>
      </c>
      <c r="J165">
        <v>2.2805720567703247E-2</v>
      </c>
      <c r="L165">
        <v>0</v>
      </c>
      <c r="O165" t="s">
        <v>151</v>
      </c>
      <c r="P165">
        <v>1</v>
      </c>
      <c r="Q165">
        <v>185484</v>
      </c>
      <c r="R165">
        <v>185484</v>
      </c>
      <c r="S165">
        <f t="shared" si="26"/>
        <v>0</v>
      </c>
      <c r="T165">
        <f t="shared" si="35"/>
        <v>1</v>
      </c>
      <c r="U165">
        <f t="shared" si="28"/>
        <v>0</v>
      </c>
      <c r="V165">
        <v>0</v>
      </c>
      <c r="W165">
        <f t="shared" si="29"/>
        <v>0</v>
      </c>
      <c r="X165">
        <f t="shared" si="30"/>
        <v>0</v>
      </c>
      <c r="Y165">
        <f t="shared" si="31"/>
        <v>0</v>
      </c>
      <c r="Z165">
        <f t="shared" si="32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3"/>
        <v>0</v>
      </c>
      <c r="AE165">
        <f t="shared" si="34"/>
        <v>0</v>
      </c>
      <c r="AF165">
        <f t="shared" si="27"/>
        <v>185484</v>
      </c>
    </row>
    <row r="166" spans="1:32" x14ac:dyDescent="0.35">
      <c r="A166" s="1">
        <v>0</v>
      </c>
      <c r="B166" t="s">
        <v>791</v>
      </c>
      <c r="C166" t="s">
        <v>32</v>
      </c>
      <c r="D166" t="s">
        <v>39</v>
      </c>
      <c r="E166" t="s">
        <v>39</v>
      </c>
      <c r="F166" t="s">
        <v>48</v>
      </c>
      <c r="G166">
        <v>36</v>
      </c>
      <c r="H166" t="s">
        <v>792</v>
      </c>
      <c r="I166">
        <v>-1.0200787782669067</v>
      </c>
      <c r="J166">
        <v>1.7001070082187653E-2</v>
      </c>
      <c r="K166">
        <v>1</v>
      </c>
      <c r="L166">
        <v>3000000</v>
      </c>
      <c r="M166">
        <v>3000000</v>
      </c>
      <c r="S166">
        <f t="shared" si="26"/>
        <v>0</v>
      </c>
      <c r="T166">
        <f t="shared" si="35"/>
        <v>0</v>
      </c>
      <c r="U166">
        <f t="shared" si="28"/>
        <v>0</v>
      </c>
      <c r="V166">
        <v>0</v>
      </c>
      <c r="W166">
        <f t="shared" si="29"/>
        <v>0</v>
      </c>
      <c r="X166">
        <f t="shared" si="30"/>
        <v>0</v>
      </c>
      <c r="Y166">
        <f t="shared" si="31"/>
        <v>0</v>
      </c>
      <c r="Z166">
        <f t="shared" si="32"/>
        <v>0</v>
      </c>
      <c r="AA166">
        <f t="shared" si="36"/>
        <v>1</v>
      </c>
      <c r="AB166">
        <f t="shared" si="37"/>
        <v>0</v>
      </c>
      <c r="AC166">
        <f t="shared" si="38"/>
        <v>1</v>
      </c>
      <c r="AD166">
        <f t="shared" si="33"/>
        <v>0</v>
      </c>
      <c r="AE166">
        <f t="shared" si="34"/>
        <v>0</v>
      </c>
      <c r="AF166">
        <f t="shared" si="27"/>
        <v>3000000</v>
      </c>
    </row>
    <row r="167" spans="1:32" x14ac:dyDescent="0.35">
      <c r="A167" s="1">
        <v>0</v>
      </c>
      <c r="B167" t="s">
        <v>465</v>
      </c>
      <c r="C167" t="s">
        <v>9</v>
      </c>
      <c r="D167" t="s">
        <v>39</v>
      </c>
      <c r="E167" t="s">
        <v>39</v>
      </c>
      <c r="F167" t="s">
        <v>86</v>
      </c>
      <c r="G167">
        <v>31</v>
      </c>
      <c r="H167" t="s">
        <v>466</v>
      </c>
      <c r="I167">
        <v>0.22867357730865479</v>
      </c>
      <c r="J167">
        <v>1.5004253014922142E-2</v>
      </c>
      <c r="L167">
        <v>0</v>
      </c>
      <c r="O167" t="s">
        <v>86</v>
      </c>
      <c r="P167">
        <v>1</v>
      </c>
      <c r="Q167">
        <v>1400000</v>
      </c>
      <c r="R167">
        <v>1400000</v>
      </c>
      <c r="S167">
        <f t="shared" si="26"/>
        <v>0</v>
      </c>
      <c r="T167">
        <f t="shared" si="35"/>
        <v>0</v>
      </c>
      <c r="U167">
        <f t="shared" si="28"/>
        <v>1</v>
      </c>
      <c r="V167">
        <v>0</v>
      </c>
      <c r="W167">
        <f t="shared" si="29"/>
        <v>0</v>
      </c>
      <c r="X167">
        <f t="shared" si="30"/>
        <v>0</v>
      </c>
      <c r="Y167">
        <f t="shared" si="31"/>
        <v>0</v>
      </c>
      <c r="Z167">
        <f t="shared" si="32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3"/>
        <v>0</v>
      </c>
      <c r="AE167">
        <f t="shared" si="34"/>
        <v>0</v>
      </c>
      <c r="AF167">
        <f t="shared" si="27"/>
        <v>1400000</v>
      </c>
    </row>
    <row r="168" spans="1:32" x14ac:dyDescent="0.35">
      <c r="A168" s="1">
        <v>0</v>
      </c>
      <c r="B168" t="s">
        <v>203</v>
      </c>
      <c r="C168" t="s">
        <v>10</v>
      </c>
      <c r="D168" t="s">
        <v>39</v>
      </c>
      <c r="E168" t="s">
        <v>39</v>
      </c>
      <c r="F168" t="s">
        <v>151</v>
      </c>
      <c r="G168">
        <v>30</v>
      </c>
      <c r="H168" t="s">
        <v>204</v>
      </c>
      <c r="I168">
        <v>1.3038595914840698</v>
      </c>
      <c r="J168">
        <v>1.2986434623599052E-2</v>
      </c>
      <c r="L168">
        <v>0</v>
      </c>
      <c r="O168" t="s">
        <v>104</v>
      </c>
      <c r="P168">
        <v>1</v>
      </c>
      <c r="Q168">
        <v>1225806</v>
      </c>
      <c r="R168">
        <v>1225806</v>
      </c>
      <c r="S168">
        <f t="shared" si="26"/>
        <v>0</v>
      </c>
      <c r="T168">
        <f t="shared" si="35"/>
        <v>1</v>
      </c>
      <c r="U168">
        <f t="shared" si="28"/>
        <v>0</v>
      </c>
      <c r="V168">
        <v>0</v>
      </c>
      <c r="W168">
        <f t="shared" si="29"/>
        <v>0</v>
      </c>
      <c r="X168">
        <f t="shared" si="30"/>
        <v>0</v>
      </c>
      <c r="Y168">
        <f t="shared" si="31"/>
        <v>0</v>
      </c>
      <c r="Z168">
        <f t="shared" si="32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3"/>
        <v>0</v>
      </c>
      <c r="AE168">
        <f t="shared" si="34"/>
        <v>0</v>
      </c>
      <c r="AF168">
        <f t="shared" si="27"/>
        <v>1225806</v>
      </c>
    </row>
    <row r="169" spans="1:32" x14ac:dyDescent="0.35">
      <c r="A169" s="1">
        <v>0</v>
      </c>
      <c r="B169" t="s">
        <v>833</v>
      </c>
      <c r="C169" t="s">
        <v>9</v>
      </c>
      <c r="D169" t="s">
        <v>39</v>
      </c>
      <c r="E169" t="s">
        <v>39</v>
      </c>
      <c r="F169" t="s">
        <v>34</v>
      </c>
      <c r="G169">
        <v>33</v>
      </c>
      <c r="H169" t="s">
        <v>834</v>
      </c>
      <c r="J169">
        <v>9.6611501649022102E-3</v>
      </c>
      <c r="L169">
        <v>0</v>
      </c>
      <c r="O169" t="s">
        <v>42</v>
      </c>
      <c r="P169">
        <v>1</v>
      </c>
      <c r="Q169">
        <v>354839</v>
      </c>
      <c r="R169">
        <v>354839</v>
      </c>
      <c r="S169">
        <f t="shared" si="26"/>
        <v>0</v>
      </c>
      <c r="T169">
        <f t="shared" si="35"/>
        <v>0</v>
      </c>
      <c r="U169">
        <f t="shared" si="28"/>
        <v>1</v>
      </c>
      <c r="V169">
        <v>0</v>
      </c>
      <c r="W169">
        <f t="shared" si="29"/>
        <v>0</v>
      </c>
      <c r="X169">
        <f t="shared" si="30"/>
        <v>0</v>
      </c>
      <c r="Y169">
        <f t="shared" si="31"/>
        <v>0</v>
      </c>
      <c r="Z169">
        <f t="shared" si="32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3"/>
        <v>0</v>
      </c>
      <c r="AE169">
        <f t="shared" si="34"/>
        <v>0</v>
      </c>
      <c r="AF169">
        <f t="shared" si="27"/>
        <v>354839</v>
      </c>
    </row>
    <row r="170" spans="1:32" x14ac:dyDescent="0.35">
      <c r="A170" s="1">
        <v>0</v>
      </c>
      <c r="B170" t="s">
        <v>468</v>
      </c>
      <c r="C170" t="s">
        <v>9</v>
      </c>
      <c r="D170" t="s">
        <v>39</v>
      </c>
      <c r="E170" t="s">
        <v>39</v>
      </c>
      <c r="F170" t="s">
        <v>36</v>
      </c>
      <c r="G170">
        <v>31</v>
      </c>
      <c r="H170" t="s">
        <v>469</v>
      </c>
      <c r="I170">
        <v>0.22086203098297119</v>
      </c>
      <c r="J170">
        <v>1.290323561988771E-4</v>
      </c>
      <c r="K170">
        <v>1</v>
      </c>
      <c r="L170">
        <v>2000000</v>
      </c>
      <c r="M170">
        <v>2000000</v>
      </c>
      <c r="O170" t="s">
        <v>36</v>
      </c>
      <c r="P170">
        <v>1</v>
      </c>
      <c r="Q170">
        <v>1000000</v>
      </c>
      <c r="R170">
        <v>1000000</v>
      </c>
      <c r="S170">
        <f t="shared" si="26"/>
        <v>0</v>
      </c>
      <c r="T170">
        <f t="shared" si="35"/>
        <v>0</v>
      </c>
      <c r="U170">
        <f t="shared" si="28"/>
        <v>1</v>
      </c>
      <c r="V170">
        <v>0</v>
      </c>
      <c r="W170">
        <f t="shared" si="29"/>
        <v>0</v>
      </c>
      <c r="X170">
        <f t="shared" si="30"/>
        <v>0</v>
      </c>
      <c r="Y170">
        <f t="shared" si="31"/>
        <v>0</v>
      </c>
      <c r="Z170">
        <f t="shared" si="32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3"/>
        <v>0</v>
      </c>
      <c r="AE170">
        <f t="shared" si="34"/>
        <v>0</v>
      </c>
      <c r="AF170">
        <f t="shared" si="27"/>
        <v>2000000</v>
      </c>
    </row>
  </sheetData>
  <sortState xmlns:xlrd2="http://schemas.microsoft.com/office/spreadsheetml/2017/richdata2" ref="B23:S304">
    <sortCondition descending="1" ref="J23:J3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ECC5-DD42-4377-9703-C61DBCC2D800}">
  <dimension ref="A1:AF170"/>
  <sheetViews>
    <sheetView zoomScaleNormal="100" workbookViewId="0">
      <selection activeCell="G12" sqref="G12"/>
    </sheetView>
  </sheetViews>
  <sheetFormatPr defaultRowHeight="14.5" x14ac:dyDescent="0.35"/>
  <cols>
    <col min="1" max="1" width="36.90625" customWidth="1"/>
    <col min="2" max="2" width="16.54296875" customWidth="1"/>
    <col min="3" max="3" width="33.81640625" customWidth="1"/>
    <col min="4" max="4" width="14.1796875" customWidth="1"/>
    <col min="5" max="5" width="21.453125" customWidth="1"/>
    <col min="6" max="6" width="10.6328125" customWidth="1"/>
    <col min="7" max="7" width="20" customWidth="1"/>
    <col min="8" max="8" width="12.54296875" customWidth="1"/>
    <col min="9" max="9" width="12.453125" bestFit="1" customWidth="1"/>
    <col min="11" max="11" width="10" customWidth="1"/>
    <col min="12" max="12" width="9.81640625" bestFit="1" customWidth="1"/>
    <col min="13" max="13" width="14.36328125" customWidth="1"/>
    <col min="17" max="17" width="20" customWidth="1"/>
  </cols>
  <sheetData>
    <row r="1" spans="1:32" x14ac:dyDescent="0.35">
      <c r="B1" t="s">
        <v>879</v>
      </c>
      <c r="C1" s="2">
        <f>SUMPRODUCT($A$16:$A$198,$AF$16:$AF$198)</f>
        <v>82569354</v>
      </c>
      <c r="D1" t="s">
        <v>8</v>
      </c>
      <c r="E1" s="2">
        <v>82994591</v>
      </c>
      <c r="G1" s="5" t="s">
        <v>866</v>
      </c>
      <c r="H1" s="5" t="s">
        <v>11</v>
      </c>
      <c r="I1" s="5" t="s">
        <v>865</v>
      </c>
    </row>
    <row r="2" spans="1:32" x14ac:dyDescent="0.35">
      <c r="B2" t="s">
        <v>25</v>
      </c>
      <c r="C2">
        <f>SUMPRODUCT($A$16:$A$198,$S$16:$S$198)</f>
        <v>1</v>
      </c>
      <c r="D2" t="s">
        <v>8</v>
      </c>
      <c r="E2">
        <v>1</v>
      </c>
      <c r="G2" t="s">
        <v>12</v>
      </c>
      <c r="H2">
        <v>6.0155210494995117</v>
      </c>
      <c r="I2">
        <v>45000000</v>
      </c>
    </row>
    <row r="3" spans="1:32" x14ac:dyDescent="0.35">
      <c r="B3" t="s">
        <v>10</v>
      </c>
      <c r="C3">
        <f>SUMPRODUCT($A$16:$A$198,$T$16:$T$198)</f>
        <v>2</v>
      </c>
      <c r="D3" s="3" t="s">
        <v>869</v>
      </c>
      <c r="E3">
        <v>2</v>
      </c>
      <c r="G3" t="s">
        <v>60</v>
      </c>
      <c r="H3">
        <v>2.9929993152618408</v>
      </c>
      <c r="I3">
        <v>18000000</v>
      </c>
    </row>
    <row r="4" spans="1:32" x14ac:dyDescent="0.35">
      <c r="C4">
        <v>0</v>
      </c>
      <c r="E4">
        <v>0</v>
      </c>
      <c r="G4" t="s">
        <v>215</v>
      </c>
      <c r="H4">
        <v>2.1516938209533691</v>
      </c>
      <c r="I4">
        <v>10000000</v>
      </c>
    </row>
    <row r="5" spans="1:32" x14ac:dyDescent="0.35">
      <c r="B5" t="s">
        <v>9</v>
      </c>
      <c r="C5">
        <f>SUMPRODUCT($A$16:$A$198,$U$16:$U$198)</f>
        <v>2</v>
      </c>
      <c r="D5" s="3" t="s">
        <v>869</v>
      </c>
      <c r="E5">
        <v>2</v>
      </c>
      <c r="G5" t="s">
        <v>627</v>
      </c>
      <c r="H5">
        <v>0.23130252957344055</v>
      </c>
      <c r="I5">
        <v>265591</v>
      </c>
    </row>
    <row r="6" spans="1:32" x14ac:dyDescent="0.35">
      <c r="C6">
        <v>0</v>
      </c>
      <c r="E6">
        <v>0</v>
      </c>
      <c r="G6" t="s">
        <v>396</v>
      </c>
      <c r="H6">
        <v>0.14225183427333832</v>
      </c>
      <c r="I6">
        <v>53763</v>
      </c>
    </row>
    <row r="7" spans="1:32" x14ac:dyDescent="0.35">
      <c r="B7" t="s">
        <v>3</v>
      </c>
      <c r="C7">
        <f>SUMPRODUCT($A$16:$A$198,$V$16:$V$198)</f>
        <v>1</v>
      </c>
      <c r="D7" s="3" t="s">
        <v>869</v>
      </c>
      <c r="E7">
        <v>1</v>
      </c>
      <c r="G7" t="s">
        <v>165</v>
      </c>
      <c r="H7">
        <v>1.4981144666671753</v>
      </c>
      <c r="I7">
        <v>5750000</v>
      </c>
    </row>
    <row r="8" spans="1:32" x14ac:dyDescent="0.35">
      <c r="B8" t="s">
        <v>7</v>
      </c>
      <c r="C8">
        <f>SUMPRODUCT($A$16:$A$198,$AC$16:$AC$198)</f>
        <v>1</v>
      </c>
      <c r="D8" s="3" t="s">
        <v>869</v>
      </c>
      <c r="E8">
        <v>1</v>
      </c>
      <c r="G8" t="s">
        <v>12</v>
      </c>
      <c r="H8">
        <v>6.0155210494995117</v>
      </c>
      <c r="I8">
        <v>45000000</v>
      </c>
    </row>
    <row r="9" spans="1:32" x14ac:dyDescent="0.35">
      <c r="A9" t="s">
        <v>868</v>
      </c>
      <c r="B9" t="s">
        <v>347</v>
      </c>
      <c r="C9">
        <f>SUMPRODUCT($A$16:$A$198,$AE$16:$AE$198)</f>
        <v>1</v>
      </c>
      <c r="D9" s="3" t="s">
        <v>869</v>
      </c>
      <c r="E9">
        <v>1</v>
      </c>
      <c r="G9" t="s">
        <v>292</v>
      </c>
      <c r="H9">
        <v>0.44243860244750977</v>
      </c>
      <c r="I9">
        <v>3500000</v>
      </c>
    </row>
    <row r="10" spans="1:32" x14ac:dyDescent="0.35">
      <c r="A10" t="s">
        <v>878</v>
      </c>
      <c r="B10" t="s">
        <v>877</v>
      </c>
      <c r="C10">
        <f>SUM(A16:A198)</f>
        <v>7</v>
      </c>
      <c r="D10" t="s">
        <v>869</v>
      </c>
      <c r="E10">
        <v>7</v>
      </c>
    </row>
    <row r="12" spans="1:32" x14ac:dyDescent="0.35">
      <c r="B12" t="s">
        <v>11</v>
      </c>
      <c r="C12" s="4">
        <f>SUMPRODUCT($A$16:$A$198, $J$16:$J$198)</f>
        <v>13.474321618676186</v>
      </c>
    </row>
    <row r="15" spans="1:32" x14ac:dyDescent="0.35">
      <c r="A15" t="s">
        <v>864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25</v>
      </c>
      <c r="T15" t="s">
        <v>10</v>
      </c>
      <c r="U15" t="s">
        <v>9</v>
      </c>
      <c r="V15" t="s">
        <v>3</v>
      </c>
      <c r="W15" t="s">
        <v>0</v>
      </c>
      <c r="X15" t="s">
        <v>1</v>
      </c>
      <c r="Y15" t="s">
        <v>4</v>
      </c>
      <c r="Z15" t="s">
        <v>2</v>
      </c>
      <c r="AA15" t="s">
        <v>5</v>
      </c>
      <c r="AB15" t="s">
        <v>6</v>
      </c>
      <c r="AC15" t="s">
        <v>7</v>
      </c>
      <c r="AD15" t="s">
        <v>863</v>
      </c>
      <c r="AE15" t="s">
        <v>347</v>
      </c>
      <c r="AF15" t="s">
        <v>885</v>
      </c>
    </row>
    <row r="16" spans="1:32" x14ac:dyDescent="0.35">
      <c r="A16" s="1">
        <v>0</v>
      </c>
      <c r="B16" t="s">
        <v>870</v>
      </c>
      <c r="C16" t="s">
        <v>7</v>
      </c>
      <c r="J16">
        <v>0</v>
      </c>
      <c r="M16">
        <v>760000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f>IF(M16="", R16, M16)</f>
        <v>760000</v>
      </c>
    </row>
    <row r="17" spans="1:32" x14ac:dyDescent="0.35">
      <c r="A17" s="1">
        <v>0</v>
      </c>
      <c r="B17" t="s">
        <v>871</v>
      </c>
      <c r="C17" t="s">
        <v>3</v>
      </c>
      <c r="J17">
        <v>0</v>
      </c>
      <c r="M17">
        <v>760000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ref="AF17:AF80" si="0">IF(M17="", R17, M17)</f>
        <v>760000</v>
      </c>
    </row>
    <row r="18" spans="1:32" x14ac:dyDescent="0.35">
      <c r="A18" s="1">
        <v>0</v>
      </c>
      <c r="B18" t="s">
        <v>872</v>
      </c>
      <c r="C18" t="s">
        <v>867</v>
      </c>
      <c r="J18">
        <v>0</v>
      </c>
      <c r="M18">
        <v>760000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f t="shared" si="0"/>
        <v>760000</v>
      </c>
    </row>
    <row r="19" spans="1:32" x14ac:dyDescent="0.35">
      <c r="A19" s="1">
        <v>0</v>
      </c>
      <c r="B19" t="s">
        <v>873</v>
      </c>
      <c r="C19" t="s">
        <v>10</v>
      </c>
      <c r="J19">
        <v>0</v>
      </c>
      <c r="M19">
        <v>760000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760000</v>
      </c>
    </row>
    <row r="20" spans="1:32" x14ac:dyDescent="0.35">
      <c r="A20" s="1">
        <v>0</v>
      </c>
      <c r="B20" t="s">
        <v>874</v>
      </c>
      <c r="C20" t="s">
        <v>10</v>
      </c>
      <c r="J20">
        <v>0</v>
      </c>
      <c r="M20">
        <v>760000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0"/>
        <v>760000</v>
      </c>
    </row>
    <row r="21" spans="1:32" x14ac:dyDescent="0.35">
      <c r="A21" s="1">
        <v>0</v>
      </c>
      <c r="B21" t="s">
        <v>875</v>
      </c>
      <c r="C21" t="s">
        <v>9</v>
      </c>
      <c r="J21">
        <v>0</v>
      </c>
      <c r="M21">
        <v>760000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760000</v>
      </c>
    </row>
    <row r="22" spans="1:32" x14ac:dyDescent="0.35">
      <c r="A22" s="1">
        <v>0</v>
      </c>
      <c r="B22" t="s">
        <v>876</v>
      </c>
      <c r="C22" t="s">
        <v>9</v>
      </c>
      <c r="J22">
        <v>0</v>
      </c>
      <c r="M22">
        <v>760000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760000</v>
      </c>
    </row>
    <row r="23" spans="1:32" x14ac:dyDescent="0.35">
      <c r="A23" s="1">
        <v>1</v>
      </c>
      <c r="B23" t="s">
        <v>12</v>
      </c>
      <c r="C23" t="s">
        <v>32</v>
      </c>
      <c r="D23" t="s">
        <v>33</v>
      </c>
      <c r="E23" t="s">
        <v>33</v>
      </c>
      <c r="F23" t="s">
        <v>34</v>
      </c>
      <c r="G23">
        <v>26</v>
      </c>
      <c r="H23" t="s">
        <v>35</v>
      </c>
      <c r="I23">
        <v>8.2910079956054688</v>
      </c>
      <c r="J23">
        <v>6.0155210494995117</v>
      </c>
      <c r="K23">
        <v>13</v>
      </c>
      <c r="L23">
        <v>585000000</v>
      </c>
      <c r="M23">
        <v>45000000</v>
      </c>
      <c r="N23">
        <v>21050000</v>
      </c>
      <c r="O23" t="s">
        <v>36</v>
      </c>
      <c r="P23">
        <v>15</v>
      </c>
      <c r="Q23">
        <v>765000000</v>
      </c>
      <c r="R23">
        <v>51000000</v>
      </c>
      <c r="S23">
        <f>IF(N23&gt;0, 1, 0)</f>
        <v>1</v>
      </c>
      <c r="T23">
        <f>IF(ISNUMBER(SEARCH("SP", $C23)), 1, 0)</f>
        <v>0</v>
      </c>
      <c r="U23">
        <f t="shared" ref="U23:U86" si="1">IF(ISNUMBER(SEARCH("RP", $C23)), 1, 0)</f>
        <v>0</v>
      </c>
      <c r="V23">
        <v>0</v>
      </c>
      <c r="W23">
        <f t="shared" ref="W23:W86" si="2">IF(ISNUMBER(SEARCH("1B", $C23)), 1, 0)</f>
        <v>0</v>
      </c>
      <c r="X23">
        <f t="shared" ref="X23:X86" si="3">IF(ISNUMBER(SEARCH("2B", $C23)), 1, 0)</f>
        <v>0</v>
      </c>
      <c r="Y23">
        <f t="shared" ref="Y23:Y86" si="4">IF(ISNUMBER(SEARCH("SS", $C23)), 1, 0)</f>
        <v>0</v>
      </c>
      <c r="Z23">
        <f t="shared" ref="Z23:Z86" si="5">IF(ISNUMBER(SEARCH("3B", $C23)), 1, 0)</f>
        <v>0</v>
      </c>
      <c r="AA23">
        <f>IF($AD23=1, 1, IF(ISNUMBER(SEARCH("LF", $C23)), 1, 0))</f>
        <v>1</v>
      </c>
      <c r="AB23">
        <f>IF($AD23=1, 1, IF(ISNUMBER(SEARCH("CF", $C23)), 1, 0))</f>
        <v>0</v>
      </c>
      <c r="AC23">
        <f>IF($AD23=1, 1, IF(ISNUMBER(SEARCH("RF", $C23)), 1, 0))</f>
        <v>1</v>
      </c>
      <c r="AD23">
        <f t="shared" ref="AD23:AD86" si="6">IF(ISNUMBER(SEARCH("OF", $C23)), 1, 0)</f>
        <v>0</v>
      </c>
      <c r="AE23">
        <f t="shared" ref="AE23:AE86" si="7">IF(ISNUMBER(SEARCH("DH", $C23)), 1, 0)</f>
        <v>0</v>
      </c>
      <c r="AF23">
        <f t="shared" si="0"/>
        <v>45000000</v>
      </c>
    </row>
    <row r="24" spans="1:32" x14ac:dyDescent="0.35">
      <c r="A24" s="1">
        <v>0</v>
      </c>
      <c r="B24" t="s">
        <v>55</v>
      </c>
      <c r="C24" t="s">
        <v>10</v>
      </c>
      <c r="D24" t="s">
        <v>39</v>
      </c>
      <c r="E24" t="s">
        <v>39</v>
      </c>
      <c r="F24" t="s">
        <v>56</v>
      </c>
      <c r="G24">
        <v>30</v>
      </c>
      <c r="H24" t="s">
        <v>57</v>
      </c>
      <c r="I24">
        <v>3.8361482620239258</v>
      </c>
      <c r="J24">
        <v>3.6227576732635498</v>
      </c>
      <c r="K24">
        <v>6</v>
      </c>
      <c r="L24">
        <v>180000000</v>
      </c>
      <c r="M24">
        <v>30000000</v>
      </c>
      <c r="N24">
        <v>21050000</v>
      </c>
      <c r="O24" t="s">
        <v>58</v>
      </c>
      <c r="P24">
        <v>6</v>
      </c>
      <c r="Q24">
        <v>210000000</v>
      </c>
      <c r="R24">
        <v>33041322</v>
      </c>
      <c r="S24">
        <f t="shared" ref="S24:S87" si="8">IF(N24&gt;0, 1, 0)</f>
        <v>1</v>
      </c>
      <c r="T24">
        <f t="shared" ref="T24:T87" si="9">IF(ISNUMBER(SEARCH("SP", $C24)), 1, 0)</f>
        <v>1</v>
      </c>
      <c r="U24">
        <f t="shared" si="1"/>
        <v>0</v>
      </c>
      <c r="V24">
        <v>0</v>
      </c>
      <c r="W24">
        <f t="shared" si="2"/>
        <v>0</v>
      </c>
      <c r="X24">
        <f t="shared" si="3"/>
        <v>0</v>
      </c>
      <c r="Y24">
        <f t="shared" si="4"/>
        <v>0</v>
      </c>
      <c r="Z24">
        <f t="shared" si="5"/>
        <v>0</v>
      </c>
      <c r="AA24">
        <f t="shared" ref="AA24:AA87" si="10">IF($AD24=1, 1, IF(ISNUMBER(SEARCH("LF", $C24)), 1, 0))</f>
        <v>0</v>
      </c>
      <c r="AB24">
        <f t="shared" ref="AB24:AB87" si="11">IF($AD24=1, 1, IF(ISNUMBER(SEARCH("CF", $C24)), 1, 0))</f>
        <v>0</v>
      </c>
      <c r="AC24">
        <f t="shared" ref="AC24:AC87" si="12">IF($AD24=1, 1, IF(ISNUMBER(SEARCH("RF", $C24)), 1, 0))</f>
        <v>0</v>
      </c>
      <c r="AD24">
        <f t="shared" si="6"/>
        <v>0</v>
      </c>
      <c r="AE24">
        <f t="shared" si="7"/>
        <v>0</v>
      </c>
      <c r="AF24">
        <f t="shared" si="0"/>
        <v>30000000</v>
      </c>
    </row>
    <row r="25" spans="1:32" x14ac:dyDescent="0.35">
      <c r="A25" s="1">
        <v>0</v>
      </c>
      <c r="B25" t="s">
        <v>88</v>
      </c>
      <c r="C25" t="s">
        <v>10</v>
      </c>
      <c r="D25" t="s">
        <v>33</v>
      </c>
      <c r="E25" t="s">
        <v>33</v>
      </c>
      <c r="F25" t="s">
        <v>42</v>
      </c>
      <c r="G25">
        <v>32</v>
      </c>
      <c r="H25" t="s">
        <v>89</v>
      </c>
      <c r="I25">
        <v>3.0745391845703125</v>
      </c>
      <c r="J25">
        <v>3.4065380096435547</v>
      </c>
      <c r="K25">
        <v>4</v>
      </c>
      <c r="L25">
        <v>120000000</v>
      </c>
      <c r="M25">
        <v>30000000</v>
      </c>
      <c r="O25" t="s">
        <v>66</v>
      </c>
      <c r="P25">
        <v>5</v>
      </c>
      <c r="Q25">
        <v>182000000</v>
      </c>
      <c r="R25">
        <v>31357257</v>
      </c>
      <c r="S25">
        <f t="shared" si="8"/>
        <v>0</v>
      </c>
      <c r="T25">
        <f t="shared" si="9"/>
        <v>1</v>
      </c>
      <c r="U25">
        <f t="shared" si="1"/>
        <v>0</v>
      </c>
      <c r="V25">
        <v>0</v>
      </c>
      <c r="W25">
        <f t="shared" si="2"/>
        <v>0</v>
      </c>
      <c r="X25">
        <f t="shared" si="3"/>
        <v>0</v>
      </c>
      <c r="Y25">
        <f t="shared" si="4"/>
        <v>0</v>
      </c>
      <c r="Z25">
        <f t="shared" si="5"/>
        <v>0</v>
      </c>
      <c r="AA25">
        <f t="shared" si="10"/>
        <v>0</v>
      </c>
      <c r="AB25">
        <f t="shared" si="11"/>
        <v>0</v>
      </c>
      <c r="AC25">
        <f t="shared" si="12"/>
        <v>0</v>
      </c>
      <c r="AD25">
        <f t="shared" si="6"/>
        <v>0</v>
      </c>
      <c r="AE25">
        <f t="shared" si="7"/>
        <v>0</v>
      </c>
      <c r="AF25">
        <f t="shared" si="0"/>
        <v>30000000</v>
      </c>
    </row>
    <row r="26" spans="1:32" x14ac:dyDescent="0.35">
      <c r="A26" s="1">
        <v>0</v>
      </c>
      <c r="B26" t="s">
        <v>73</v>
      </c>
      <c r="C26" t="s">
        <v>10</v>
      </c>
      <c r="D26" t="s">
        <v>33</v>
      </c>
      <c r="E26" t="s">
        <v>33</v>
      </c>
      <c r="F26" t="s">
        <v>48</v>
      </c>
      <c r="G26">
        <v>31</v>
      </c>
      <c r="H26" t="s">
        <v>74</v>
      </c>
      <c r="I26">
        <v>3.3708357810974121</v>
      </c>
      <c r="J26">
        <v>3.2881619930267334</v>
      </c>
      <c r="K26">
        <v>5</v>
      </c>
      <c r="L26">
        <v>125000000</v>
      </c>
      <c r="M26">
        <v>25000000</v>
      </c>
      <c r="N26">
        <v>21050000</v>
      </c>
      <c r="O26" t="s">
        <v>34</v>
      </c>
      <c r="P26">
        <v>8</v>
      </c>
      <c r="Q26">
        <v>218000000</v>
      </c>
      <c r="R26">
        <v>27250000</v>
      </c>
      <c r="S26">
        <f t="shared" si="8"/>
        <v>1</v>
      </c>
      <c r="T26">
        <f t="shared" si="9"/>
        <v>1</v>
      </c>
      <c r="U26">
        <f t="shared" si="1"/>
        <v>0</v>
      </c>
      <c r="V26">
        <v>0</v>
      </c>
      <c r="W26">
        <f t="shared" si="2"/>
        <v>0</v>
      </c>
      <c r="X26">
        <f t="shared" si="3"/>
        <v>0</v>
      </c>
      <c r="Y26">
        <f t="shared" si="4"/>
        <v>0</v>
      </c>
      <c r="Z26">
        <f t="shared" si="5"/>
        <v>0</v>
      </c>
      <c r="AA26">
        <f t="shared" si="10"/>
        <v>0</v>
      </c>
      <c r="AB26">
        <f t="shared" si="11"/>
        <v>0</v>
      </c>
      <c r="AC26">
        <f t="shared" si="12"/>
        <v>0</v>
      </c>
      <c r="AD26">
        <f t="shared" si="6"/>
        <v>0</v>
      </c>
      <c r="AE26">
        <f t="shared" si="7"/>
        <v>0</v>
      </c>
      <c r="AF26">
        <f t="shared" si="0"/>
        <v>25000000</v>
      </c>
    </row>
    <row r="27" spans="1:32" x14ac:dyDescent="0.35">
      <c r="A27" s="1">
        <v>1</v>
      </c>
      <c r="B27" t="s">
        <v>60</v>
      </c>
      <c r="C27" t="s">
        <v>10</v>
      </c>
      <c r="D27" t="s">
        <v>33</v>
      </c>
      <c r="E27" t="s">
        <v>33</v>
      </c>
      <c r="F27" t="s">
        <v>51</v>
      </c>
      <c r="G27">
        <v>34</v>
      </c>
      <c r="H27" t="s">
        <v>61</v>
      </c>
      <c r="I27">
        <v>3.6429600715637207</v>
      </c>
      <c r="J27">
        <v>2.9929993152618408</v>
      </c>
      <c r="K27">
        <v>3</v>
      </c>
      <c r="L27">
        <v>54000000</v>
      </c>
      <c r="M27">
        <v>18000000</v>
      </c>
      <c r="O27" t="s">
        <v>62</v>
      </c>
      <c r="P27">
        <v>3</v>
      </c>
      <c r="Q27">
        <v>63000000</v>
      </c>
      <c r="R27">
        <v>21000000</v>
      </c>
      <c r="S27">
        <f t="shared" si="8"/>
        <v>0</v>
      </c>
      <c r="T27">
        <f t="shared" si="9"/>
        <v>1</v>
      </c>
      <c r="U27">
        <f t="shared" si="1"/>
        <v>0</v>
      </c>
      <c r="V27">
        <v>0</v>
      </c>
      <c r="W27">
        <f t="shared" si="2"/>
        <v>0</v>
      </c>
      <c r="X27">
        <f t="shared" si="3"/>
        <v>0</v>
      </c>
      <c r="Y27">
        <f t="shared" si="4"/>
        <v>0</v>
      </c>
      <c r="Z27">
        <f t="shared" si="5"/>
        <v>0</v>
      </c>
      <c r="AA27">
        <f t="shared" si="10"/>
        <v>0</v>
      </c>
      <c r="AB27">
        <f t="shared" si="11"/>
        <v>0</v>
      </c>
      <c r="AC27">
        <f t="shared" si="12"/>
        <v>0</v>
      </c>
      <c r="AD27">
        <f t="shared" si="6"/>
        <v>0</v>
      </c>
      <c r="AE27">
        <f t="shared" si="7"/>
        <v>0</v>
      </c>
      <c r="AF27">
        <f t="shared" si="0"/>
        <v>18000000</v>
      </c>
    </row>
    <row r="28" spans="1:32" x14ac:dyDescent="0.35">
      <c r="A28" s="1">
        <v>0</v>
      </c>
      <c r="B28" t="s">
        <v>112</v>
      </c>
      <c r="C28" t="s">
        <v>10</v>
      </c>
      <c r="D28" t="s">
        <v>39</v>
      </c>
      <c r="E28" t="s">
        <v>39</v>
      </c>
      <c r="F28" t="s">
        <v>97</v>
      </c>
      <c r="G28">
        <v>35</v>
      </c>
      <c r="H28" t="s">
        <v>113</v>
      </c>
      <c r="I28">
        <v>2.6279804706573486</v>
      </c>
      <c r="J28">
        <v>2.863853931427002</v>
      </c>
      <c r="K28">
        <v>3</v>
      </c>
      <c r="L28">
        <v>60000000</v>
      </c>
      <c r="M28">
        <v>20000000</v>
      </c>
      <c r="O28" t="s">
        <v>97</v>
      </c>
      <c r="P28">
        <v>3</v>
      </c>
      <c r="Q28">
        <v>75000000</v>
      </c>
      <c r="R28">
        <v>25000000</v>
      </c>
      <c r="S28">
        <f t="shared" si="8"/>
        <v>0</v>
      </c>
      <c r="T28">
        <f t="shared" si="9"/>
        <v>1</v>
      </c>
      <c r="U28">
        <f t="shared" si="1"/>
        <v>0</v>
      </c>
      <c r="V28">
        <v>0</v>
      </c>
      <c r="W28">
        <f t="shared" si="2"/>
        <v>0</v>
      </c>
      <c r="X28">
        <f t="shared" si="3"/>
        <v>0</v>
      </c>
      <c r="Y28">
        <f t="shared" si="4"/>
        <v>0</v>
      </c>
      <c r="Z28">
        <f t="shared" si="5"/>
        <v>0</v>
      </c>
      <c r="AA28">
        <f t="shared" si="10"/>
        <v>0</v>
      </c>
      <c r="AB28">
        <f t="shared" si="11"/>
        <v>0</v>
      </c>
      <c r="AC28">
        <f t="shared" si="12"/>
        <v>0</v>
      </c>
      <c r="AD28">
        <f t="shared" si="6"/>
        <v>0</v>
      </c>
      <c r="AE28">
        <f t="shared" si="7"/>
        <v>0</v>
      </c>
      <c r="AF28">
        <f t="shared" si="0"/>
        <v>20000000</v>
      </c>
    </row>
    <row r="29" spans="1:32" x14ac:dyDescent="0.35">
      <c r="A29" s="1">
        <v>0</v>
      </c>
      <c r="B29" t="s">
        <v>76</v>
      </c>
      <c r="C29" t="s">
        <v>10</v>
      </c>
      <c r="D29" t="s">
        <v>39</v>
      </c>
      <c r="E29" t="s">
        <v>39</v>
      </c>
      <c r="F29" t="s">
        <v>66</v>
      </c>
      <c r="G29">
        <v>29</v>
      </c>
      <c r="H29" t="s">
        <v>77</v>
      </c>
      <c r="I29">
        <v>3.3211297988891602</v>
      </c>
      <c r="J29">
        <v>2.5394833087921143</v>
      </c>
      <c r="K29">
        <v>4</v>
      </c>
      <c r="L29">
        <v>88000000</v>
      </c>
      <c r="M29">
        <v>22000000</v>
      </c>
      <c r="O29" t="s">
        <v>78</v>
      </c>
      <c r="P29">
        <v>2</v>
      </c>
      <c r="Q29">
        <v>45000000</v>
      </c>
      <c r="R29">
        <v>22500000</v>
      </c>
      <c r="S29">
        <f t="shared" si="8"/>
        <v>0</v>
      </c>
      <c r="T29">
        <f t="shared" si="9"/>
        <v>1</v>
      </c>
      <c r="U29">
        <f t="shared" si="1"/>
        <v>0</v>
      </c>
      <c r="V29">
        <v>0</v>
      </c>
      <c r="W29">
        <f t="shared" si="2"/>
        <v>0</v>
      </c>
      <c r="X29">
        <f t="shared" si="3"/>
        <v>0</v>
      </c>
      <c r="Y29">
        <f t="shared" si="4"/>
        <v>0</v>
      </c>
      <c r="Z29">
        <f t="shared" si="5"/>
        <v>0</v>
      </c>
      <c r="AA29">
        <f t="shared" si="10"/>
        <v>0</v>
      </c>
      <c r="AB29">
        <f t="shared" si="11"/>
        <v>0</v>
      </c>
      <c r="AC29">
        <f t="shared" si="12"/>
        <v>0</v>
      </c>
      <c r="AD29">
        <f t="shared" si="6"/>
        <v>0</v>
      </c>
      <c r="AE29">
        <f t="shared" si="7"/>
        <v>0</v>
      </c>
      <c r="AF29">
        <f t="shared" si="0"/>
        <v>22000000</v>
      </c>
    </row>
    <row r="30" spans="1:32" x14ac:dyDescent="0.35">
      <c r="A30" s="1">
        <v>0</v>
      </c>
      <c r="B30" t="s">
        <v>84</v>
      </c>
      <c r="C30" t="s">
        <v>65</v>
      </c>
      <c r="D30" t="s">
        <v>45</v>
      </c>
      <c r="E30" t="s">
        <v>39</v>
      </c>
      <c r="F30" t="s">
        <v>56</v>
      </c>
      <c r="G30">
        <v>30</v>
      </c>
      <c r="H30" t="s">
        <v>85</v>
      </c>
      <c r="I30">
        <v>3.2152910232543945</v>
      </c>
      <c r="J30">
        <v>2.4824109077453613</v>
      </c>
      <c r="K30">
        <v>4</v>
      </c>
      <c r="L30">
        <v>80000000</v>
      </c>
      <c r="M30">
        <v>20000000</v>
      </c>
      <c r="N30">
        <v>21050000</v>
      </c>
      <c r="O30" t="s">
        <v>86</v>
      </c>
      <c r="P30">
        <v>5</v>
      </c>
      <c r="Q30">
        <v>92500000</v>
      </c>
      <c r="R30">
        <v>14314441</v>
      </c>
      <c r="S30">
        <f t="shared" si="8"/>
        <v>1</v>
      </c>
      <c r="T30">
        <f t="shared" si="9"/>
        <v>0</v>
      </c>
      <c r="U30">
        <f t="shared" si="1"/>
        <v>0</v>
      </c>
      <c r="V30">
        <v>0</v>
      </c>
      <c r="W30">
        <f t="shared" si="2"/>
        <v>0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10"/>
        <v>1</v>
      </c>
      <c r="AB30">
        <f t="shared" si="11"/>
        <v>0</v>
      </c>
      <c r="AC30">
        <f t="shared" si="12"/>
        <v>1</v>
      </c>
      <c r="AD30">
        <f t="shared" si="6"/>
        <v>0</v>
      </c>
      <c r="AE30">
        <f t="shared" si="7"/>
        <v>0</v>
      </c>
      <c r="AF30">
        <f t="shared" si="0"/>
        <v>20000000</v>
      </c>
    </row>
    <row r="31" spans="1:32" x14ac:dyDescent="0.35">
      <c r="A31" s="1">
        <v>0</v>
      </c>
      <c r="B31" t="s">
        <v>137</v>
      </c>
      <c r="C31" t="s">
        <v>10</v>
      </c>
      <c r="D31" t="s">
        <v>39</v>
      </c>
      <c r="E31" t="s">
        <v>39</v>
      </c>
      <c r="F31" t="s">
        <v>53</v>
      </c>
      <c r="G31">
        <v>32</v>
      </c>
      <c r="H31" t="s">
        <v>138</v>
      </c>
      <c r="I31">
        <v>2.0111303329467773</v>
      </c>
      <c r="J31">
        <v>2.3676526546478271</v>
      </c>
      <c r="K31">
        <v>3</v>
      </c>
      <c r="L31">
        <v>45000000</v>
      </c>
      <c r="M31">
        <v>15000000</v>
      </c>
      <c r="N31">
        <v>21050000</v>
      </c>
      <c r="O31" t="s">
        <v>46</v>
      </c>
      <c r="P31">
        <v>4</v>
      </c>
      <c r="Q31">
        <v>55000000</v>
      </c>
      <c r="R31">
        <v>13750000</v>
      </c>
      <c r="S31">
        <f t="shared" si="8"/>
        <v>1</v>
      </c>
      <c r="T31">
        <f t="shared" si="9"/>
        <v>1</v>
      </c>
      <c r="U31">
        <f t="shared" si="1"/>
        <v>0</v>
      </c>
      <c r="V31">
        <v>0</v>
      </c>
      <c r="W31">
        <f t="shared" si="2"/>
        <v>0</v>
      </c>
      <c r="X31">
        <f t="shared" si="3"/>
        <v>0</v>
      </c>
      <c r="Y31">
        <f t="shared" si="4"/>
        <v>0</v>
      </c>
      <c r="Z31">
        <f t="shared" si="5"/>
        <v>0</v>
      </c>
      <c r="AA31">
        <f t="shared" si="10"/>
        <v>0</v>
      </c>
      <c r="AB31">
        <f t="shared" si="11"/>
        <v>0</v>
      </c>
      <c r="AC31">
        <f t="shared" si="12"/>
        <v>0</v>
      </c>
      <c r="AD31">
        <f t="shared" si="6"/>
        <v>0</v>
      </c>
      <c r="AE31">
        <f t="shared" si="7"/>
        <v>0</v>
      </c>
      <c r="AF31">
        <f t="shared" si="0"/>
        <v>15000000</v>
      </c>
    </row>
    <row r="32" spans="1:32" x14ac:dyDescent="0.35">
      <c r="A32" s="1">
        <v>0</v>
      </c>
      <c r="B32" t="s">
        <v>64</v>
      </c>
      <c r="C32" t="s">
        <v>65</v>
      </c>
      <c r="D32" t="s">
        <v>39</v>
      </c>
      <c r="E32" t="s">
        <v>39</v>
      </c>
      <c r="F32" t="s">
        <v>66</v>
      </c>
      <c r="G32">
        <v>32</v>
      </c>
      <c r="H32" t="s">
        <v>67</v>
      </c>
      <c r="I32">
        <v>3.4158172607421875</v>
      </c>
      <c r="J32">
        <v>2.2135863304138184</v>
      </c>
      <c r="K32">
        <v>3</v>
      </c>
      <c r="L32">
        <v>69000000</v>
      </c>
      <c r="M32">
        <v>23000000</v>
      </c>
      <c r="N32">
        <v>21050000</v>
      </c>
      <c r="O32" t="s">
        <v>66</v>
      </c>
      <c r="P32">
        <v>3</v>
      </c>
      <c r="Q32">
        <v>66000000</v>
      </c>
      <c r="R32">
        <v>19957137</v>
      </c>
      <c r="S32">
        <f t="shared" si="8"/>
        <v>1</v>
      </c>
      <c r="T32">
        <f t="shared" si="9"/>
        <v>0</v>
      </c>
      <c r="U32">
        <f t="shared" si="1"/>
        <v>0</v>
      </c>
      <c r="V32">
        <v>0</v>
      </c>
      <c r="W32">
        <f t="shared" si="2"/>
        <v>0</v>
      </c>
      <c r="X32">
        <f t="shared" si="3"/>
        <v>0</v>
      </c>
      <c r="Y32">
        <f t="shared" si="4"/>
        <v>0</v>
      </c>
      <c r="Z32">
        <f t="shared" si="5"/>
        <v>0</v>
      </c>
      <c r="AA32">
        <f t="shared" si="10"/>
        <v>1</v>
      </c>
      <c r="AB32">
        <f t="shared" si="11"/>
        <v>0</v>
      </c>
      <c r="AC32">
        <f t="shared" si="12"/>
        <v>1</v>
      </c>
      <c r="AD32">
        <f t="shared" si="6"/>
        <v>0</v>
      </c>
      <c r="AE32">
        <f t="shared" si="7"/>
        <v>0</v>
      </c>
      <c r="AF32">
        <f t="shared" si="0"/>
        <v>23000000</v>
      </c>
    </row>
    <row r="33" spans="1:32" x14ac:dyDescent="0.35">
      <c r="A33" s="1">
        <v>1</v>
      </c>
      <c r="B33" t="s">
        <v>215</v>
      </c>
      <c r="C33" t="s">
        <v>10</v>
      </c>
      <c r="D33" t="s">
        <v>39</v>
      </c>
      <c r="E33" t="s">
        <v>39</v>
      </c>
      <c r="F33" t="s">
        <v>34</v>
      </c>
      <c r="G33">
        <v>32</v>
      </c>
      <c r="H33" t="s">
        <v>216</v>
      </c>
      <c r="I33">
        <v>1.1604137420654297</v>
      </c>
      <c r="J33">
        <v>2.1516938209533691</v>
      </c>
      <c r="K33">
        <v>2</v>
      </c>
      <c r="L33">
        <v>20000000</v>
      </c>
      <c r="M33">
        <v>10000000</v>
      </c>
      <c r="O33" t="s">
        <v>36</v>
      </c>
      <c r="P33">
        <v>3</v>
      </c>
      <c r="Q33">
        <v>38000000</v>
      </c>
      <c r="R33">
        <v>12666666.66666667</v>
      </c>
      <c r="S33">
        <f t="shared" si="8"/>
        <v>0</v>
      </c>
      <c r="T33">
        <f t="shared" si="9"/>
        <v>1</v>
      </c>
      <c r="U33">
        <f t="shared" si="1"/>
        <v>0</v>
      </c>
      <c r="V33"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A33">
        <f t="shared" si="10"/>
        <v>0</v>
      </c>
      <c r="AB33">
        <f t="shared" si="11"/>
        <v>0</v>
      </c>
      <c r="AC33">
        <f t="shared" si="12"/>
        <v>0</v>
      </c>
      <c r="AD33">
        <f t="shared" si="6"/>
        <v>0</v>
      </c>
      <c r="AE33">
        <f t="shared" si="7"/>
        <v>0</v>
      </c>
      <c r="AF33">
        <f t="shared" si="0"/>
        <v>10000000</v>
      </c>
    </row>
    <row r="34" spans="1:32" x14ac:dyDescent="0.35">
      <c r="A34" s="1">
        <v>0</v>
      </c>
      <c r="B34" t="s">
        <v>80</v>
      </c>
      <c r="C34" t="s">
        <v>10</v>
      </c>
      <c r="D34" t="s">
        <v>39</v>
      </c>
      <c r="E34" t="s">
        <v>39</v>
      </c>
      <c r="F34" t="s">
        <v>81</v>
      </c>
      <c r="G34">
        <v>33</v>
      </c>
      <c r="H34" t="s">
        <v>82</v>
      </c>
      <c r="I34">
        <v>3.3198311328887939</v>
      </c>
      <c r="J34">
        <v>2.1513991355895996</v>
      </c>
      <c r="K34">
        <v>3</v>
      </c>
      <c r="L34">
        <v>54000000</v>
      </c>
      <c r="M34">
        <v>18000000</v>
      </c>
      <c r="O34" t="s">
        <v>81</v>
      </c>
      <c r="P34">
        <v>3</v>
      </c>
      <c r="Q34">
        <v>51000000</v>
      </c>
      <c r="R34">
        <v>17000000</v>
      </c>
      <c r="S34">
        <f t="shared" si="8"/>
        <v>0</v>
      </c>
      <c r="T34">
        <f t="shared" si="9"/>
        <v>1</v>
      </c>
      <c r="U34">
        <f t="shared" si="1"/>
        <v>0</v>
      </c>
      <c r="V34"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A34">
        <f t="shared" si="10"/>
        <v>0</v>
      </c>
      <c r="AB34">
        <f t="shared" si="11"/>
        <v>0</v>
      </c>
      <c r="AC34">
        <f t="shared" si="12"/>
        <v>0</v>
      </c>
      <c r="AD34">
        <f t="shared" si="6"/>
        <v>0</v>
      </c>
      <c r="AE34">
        <f t="shared" si="7"/>
        <v>0</v>
      </c>
      <c r="AF34">
        <f t="shared" si="0"/>
        <v>18000000</v>
      </c>
    </row>
    <row r="35" spans="1:32" x14ac:dyDescent="0.35">
      <c r="A35" s="1">
        <v>0</v>
      </c>
      <c r="B35" t="s">
        <v>337</v>
      </c>
      <c r="C35" t="s">
        <v>10</v>
      </c>
      <c r="D35" t="s">
        <v>39</v>
      </c>
      <c r="E35" t="s">
        <v>39</v>
      </c>
      <c r="F35" t="s">
        <v>97</v>
      </c>
      <c r="G35">
        <v>40</v>
      </c>
      <c r="H35" t="s">
        <v>338</v>
      </c>
      <c r="I35">
        <v>0.60618424415588379</v>
      </c>
      <c r="J35">
        <v>1.9847042560577393</v>
      </c>
      <c r="K35">
        <v>1</v>
      </c>
      <c r="L35">
        <v>18000000</v>
      </c>
      <c r="M35">
        <v>18000000</v>
      </c>
      <c r="O35" t="s">
        <v>86</v>
      </c>
      <c r="P35">
        <v>1</v>
      </c>
      <c r="Q35">
        <v>15500000</v>
      </c>
      <c r="R35">
        <v>15500000</v>
      </c>
      <c r="S35">
        <f t="shared" si="8"/>
        <v>0</v>
      </c>
      <c r="T35">
        <f t="shared" si="9"/>
        <v>1</v>
      </c>
      <c r="U35">
        <f t="shared" si="1"/>
        <v>0</v>
      </c>
      <c r="V35">
        <v>0</v>
      </c>
      <c r="W35">
        <f t="shared" si="2"/>
        <v>0</v>
      </c>
      <c r="X35">
        <f t="shared" si="3"/>
        <v>0</v>
      </c>
      <c r="Y35">
        <f t="shared" si="4"/>
        <v>0</v>
      </c>
      <c r="Z35">
        <f t="shared" si="5"/>
        <v>0</v>
      </c>
      <c r="AA35">
        <f t="shared" si="10"/>
        <v>0</v>
      </c>
      <c r="AB35">
        <f t="shared" si="11"/>
        <v>0</v>
      </c>
      <c r="AC35">
        <f t="shared" si="12"/>
        <v>0</v>
      </c>
      <c r="AD35">
        <f t="shared" si="6"/>
        <v>0</v>
      </c>
      <c r="AE35">
        <f t="shared" si="7"/>
        <v>0</v>
      </c>
      <c r="AF35">
        <f t="shared" si="0"/>
        <v>18000000</v>
      </c>
    </row>
    <row r="36" spans="1:32" x14ac:dyDescent="0.35">
      <c r="A36" s="1">
        <v>0</v>
      </c>
      <c r="B36" t="s">
        <v>105</v>
      </c>
      <c r="C36" t="s">
        <v>10</v>
      </c>
      <c r="D36" t="s">
        <v>39</v>
      </c>
      <c r="E36" t="s">
        <v>33</v>
      </c>
      <c r="F36" t="s">
        <v>36</v>
      </c>
      <c r="G36">
        <v>33</v>
      </c>
      <c r="H36" t="s">
        <v>106</v>
      </c>
      <c r="I36">
        <v>2.7818140983581543</v>
      </c>
      <c r="J36">
        <v>1.8057085275650024</v>
      </c>
      <c r="K36">
        <v>3</v>
      </c>
      <c r="L36">
        <v>60000000</v>
      </c>
      <c r="M36">
        <v>20000000</v>
      </c>
      <c r="N36">
        <v>21050000</v>
      </c>
      <c r="O36" t="s">
        <v>36</v>
      </c>
      <c r="P36">
        <v>3</v>
      </c>
      <c r="Q36">
        <v>75000000</v>
      </c>
      <c r="R36">
        <v>22009731</v>
      </c>
      <c r="S36">
        <f t="shared" si="8"/>
        <v>1</v>
      </c>
      <c r="T36">
        <f t="shared" si="9"/>
        <v>1</v>
      </c>
      <c r="U36">
        <f t="shared" si="1"/>
        <v>0</v>
      </c>
      <c r="V36">
        <v>0</v>
      </c>
      <c r="W36">
        <f t="shared" si="2"/>
        <v>0</v>
      </c>
      <c r="X36">
        <f t="shared" si="3"/>
        <v>0</v>
      </c>
      <c r="Y36">
        <f t="shared" si="4"/>
        <v>0</v>
      </c>
      <c r="Z36">
        <f t="shared" si="5"/>
        <v>0</v>
      </c>
      <c r="AA36">
        <f t="shared" si="10"/>
        <v>0</v>
      </c>
      <c r="AB36">
        <f t="shared" si="11"/>
        <v>0</v>
      </c>
      <c r="AC36">
        <f t="shared" si="12"/>
        <v>0</v>
      </c>
      <c r="AD36">
        <f t="shared" si="6"/>
        <v>0</v>
      </c>
      <c r="AE36">
        <f t="shared" si="7"/>
        <v>0</v>
      </c>
      <c r="AF36">
        <f t="shared" si="0"/>
        <v>20000000</v>
      </c>
    </row>
    <row r="37" spans="1:32" x14ac:dyDescent="0.35">
      <c r="A37" s="1">
        <v>0</v>
      </c>
      <c r="B37" t="s">
        <v>69</v>
      </c>
      <c r="C37" t="s">
        <v>10</v>
      </c>
      <c r="D37" t="s">
        <v>33</v>
      </c>
      <c r="E37" t="s">
        <v>39</v>
      </c>
      <c r="F37" t="s">
        <v>70</v>
      </c>
      <c r="G37">
        <v>34</v>
      </c>
      <c r="H37" t="s">
        <v>71</v>
      </c>
      <c r="I37">
        <v>3.3970968723297119</v>
      </c>
      <c r="J37">
        <v>1.7099204063415527</v>
      </c>
      <c r="K37">
        <v>2</v>
      </c>
      <c r="L37">
        <v>32000000</v>
      </c>
      <c r="M37">
        <v>16000000</v>
      </c>
      <c r="N37">
        <v>21050000</v>
      </c>
      <c r="O37" t="s">
        <v>70</v>
      </c>
      <c r="P37">
        <v>1</v>
      </c>
      <c r="Q37">
        <v>21050000</v>
      </c>
      <c r="R37">
        <v>21050000</v>
      </c>
      <c r="S37">
        <f t="shared" si="8"/>
        <v>1</v>
      </c>
      <c r="T37">
        <f t="shared" si="9"/>
        <v>1</v>
      </c>
      <c r="U37">
        <f t="shared" si="1"/>
        <v>0</v>
      </c>
      <c r="V37">
        <v>0</v>
      </c>
      <c r="W37">
        <f t="shared" si="2"/>
        <v>0</v>
      </c>
      <c r="X37">
        <f t="shared" si="3"/>
        <v>0</v>
      </c>
      <c r="Y37">
        <f t="shared" si="4"/>
        <v>0</v>
      </c>
      <c r="Z37">
        <f t="shared" si="5"/>
        <v>0</v>
      </c>
      <c r="AA37">
        <f t="shared" si="10"/>
        <v>0</v>
      </c>
      <c r="AB37">
        <f t="shared" si="11"/>
        <v>0</v>
      </c>
      <c r="AC37">
        <f t="shared" si="12"/>
        <v>0</v>
      </c>
      <c r="AD37">
        <f t="shared" si="6"/>
        <v>0</v>
      </c>
      <c r="AE37">
        <f t="shared" si="7"/>
        <v>0</v>
      </c>
      <c r="AF37">
        <f t="shared" si="0"/>
        <v>16000000</v>
      </c>
    </row>
    <row r="38" spans="1:32" x14ac:dyDescent="0.35">
      <c r="A38" s="1">
        <v>0</v>
      </c>
      <c r="B38" t="s">
        <v>269</v>
      </c>
      <c r="C38" t="s">
        <v>10</v>
      </c>
      <c r="D38" t="s">
        <v>33</v>
      </c>
      <c r="E38" t="s">
        <v>33</v>
      </c>
      <c r="F38" t="s">
        <v>102</v>
      </c>
      <c r="G38">
        <v>34</v>
      </c>
      <c r="H38" t="s">
        <v>270</v>
      </c>
      <c r="I38">
        <v>0.89194542169570923</v>
      </c>
      <c r="J38">
        <v>1.7064907550811768</v>
      </c>
      <c r="K38">
        <v>2</v>
      </c>
      <c r="L38">
        <v>18000000</v>
      </c>
      <c r="M38">
        <v>9000000</v>
      </c>
      <c r="O38" t="s">
        <v>104</v>
      </c>
      <c r="P38">
        <v>2</v>
      </c>
      <c r="Q38">
        <v>29000000</v>
      </c>
      <c r="R38">
        <v>14500000</v>
      </c>
      <c r="S38">
        <f t="shared" si="8"/>
        <v>0</v>
      </c>
      <c r="T38">
        <f t="shared" si="9"/>
        <v>1</v>
      </c>
      <c r="U38">
        <f t="shared" si="1"/>
        <v>0</v>
      </c>
      <c r="V38">
        <v>0</v>
      </c>
      <c r="W38">
        <f t="shared" si="2"/>
        <v>0</v>
      </c>
      <c r="X38">
        <f t="shared" si="3"/>
        <v>0</v>
      </c>
      <c r="Y38">
        <f t="shared" si="4"/>
        <v>0</v>
      </c>
      <c r="Z38">
        <f t="shared" si="5"/>
        <v>0</v>
      </c>
      <c r="AA38">
        <f t="shared" si="10"/>
        <v>0</v>
      </c>
      <c r="AB38">
        <f t="shared" si="11"/>
        <v>0</v>
      </c>
      <c r="AC38">
        <f t="shared" si="12"/>
        <v>0</v>
      </c>
      <c r="AD38">
        <f t="shared" si="6"/>
        <v>0</v>
      </c>
      <c r="AE38">
        <f t="shared" si="7"/>
        <v>0</v>
      </c>
      <c r="AF38">
        <f t="shared" si="0"/>
        <v>9000000</v>
      </c>
    </row>
    <row r="39" spans="1:32" x14ac:dyDescent="0.35">
      <c r="A39" s="1">
        <v>0</v>
      </c>
      <c r="B39" t="s">
        <v>94</v>
      </c>
      <c r="C39" t="s">
        <v>95</v>
      </c>
      <c r="D39" t="s">
        <v>33</v>
      </c>
      <c r="E39" t="s">
        <v>33</v>
      </c>
      <c r="F39" t="s">
        <v>58</v>
      </c>
      <c r="G39">
        <v>33</v>
      </c>
      <c r="H39" t="s">
        <v>96</v>
      </c>
      <c r="I39">
        <v>2.9881842136383057</v>
      </c>
      <c r="J39">
        <v>1.6810855865478516</v>
      </c>
      <c r="K39">
        <v>2</v>
      </c>
      <c r="L39">
        <v>28000000</v>
      </c>
      <c r="M39">
        <v>14000000</v>
      </c>
      <c r="O39" t="s">
        <v>97</v>
      </c>
      <c r="P39">
        <v>2</v>
      </c>
      <c r="Q39">
        <v>37000000</v>
      </c>
      <c r="R39">
        <v>18500000</v>
      </c>
      <c r="S39">
        <f t="shared" si="8"/>
        <v>0</v>
      </c>
      <c r="T39">
        <f t="shared" si="9"/>
        <v>0</v>
      </c>
      <c r="U39">
        <f t="shared" si="1"/>
        <v>0</v>
      </c>
      <c r="V39">
        <v>0</v>
      </c>
      <c r="W39">
        <f t="shared" si="2"/>
        <v>0</v>
      </c>
      <c r="X39">
        <f t="shared" si="3"/>
        <v>0</v>
      </c>
      <c r="Y39">
        <f t="shared" si="4"/>
        <v>0</v>
      </c>
      <c r="Z39">
        <f t="shared" si="5"/>
        <v>0</v>
      </c>
      <c r="AA39">
        <f t="shared" si="10"/>
        <v>1</v>
      </c>
      <c r="AB39">
        <f t="shared" si="11"/>
        <v>0</v>
      </c>
      <c r="AC39">
        <f t="shared" si="12"/>
        <v>1</v>
      </c>
      <c r="AD39">
        <f t="shared" si="6"/>
        <v>0</v>
      </c>
      <c r="AE39">
        <f t="shared" si="7"/>
        <v>1</v>
      </c>
      <c r="AF39">
        <f t="shared" si="0"/>
        <v>14000000</v>
      </c>
    </row>
    <row r="40" spans="1:32" x14ac:dyDescent="0.35">
      <c r="A40" s="1">
        <v>0</v>
      </c>
      <c r="B40" t="s">
        <v>127</v>
      </c>
      <c r="C40" t="s">
        <v>10</v>
      </c>
      <c r="D40" t="s">
        <v>39</v>
      </c>
      <c r="E40" t="s">
        <v>39</v>
      </c>
      <c r="F40" t="s">
        <v>36</v>
      </c>
      <c r="G40">
        <v>31</v>
      </c>
      <c r="H40" t="s">
        <v>128</v>
      </c>
      <c r="I40">
        <v>2.1073484420776367</v>
      </c>
      <c r="J40">
        <v>1.5633713006973267</v>
      </c>
      <c r="K40">
        <v>3</v>
      </c>
      <c r="L40">
        <v>48000000</v>
      </c>
      <c r="M40">
        <v>16000000</v>
      </c>
      <c r="N40">
        <v>21050000</v>
      </c>
      <c r="O40" t="s">
        <v>129</v>
      </c>
      <c r="P40">
        <v>3</v>
      </c>
      <c r="Q40">
        <v>67000000</v>
      </c>
      <c r="R40">
        <v>22333333.333333328</v>
      </c>
      <c r="S40">
        <f t="shared" si="8"/>
        <v>1</v>
      </c>
      <c r="T40">
        <f t="shared" si="9"/>
        <v>1</v>
      </c>
      <c r="U40">
        <f t="shared" si="1"/>
        <v>0</v>
      </c>
      <c r="V40">
        <v>0</v>
      </c>
      <c r="W40">
        <f t="shared" si="2"/>
        <v>0</v>
      </c>
      <c r="X40">
        <f t="shared" si="3"/>
        <v>0</v>
      </c>
      <c r="Y40">
        <f t="shared" si="4"/>
        <v>0</v>
      </c>
      <c r="Z40">
        <f t="shared" si="5"/>
        <v>0</v>
      </c>
      <c r="AA40">
        <f t="shared" si="10"/>
        <v>0</v>
      </c>
      <c r="AB40">
        <f t="shared" si="11"/>
        <v>0</v>
      </c>
      <c r="AC40">
        <f t="shared" si="12"/>
        <v>0</v>
      </c>
      <c r="AD40">
        <f t="shared" si="6"/>
        <v>0</v>
      </c>
      <c r="AE40">
        <f t="shared" si="7"/>
        <v>0</v>
      </c>
      <c r="AF40">
        <f t="shared" si="0"/>
        <v>16000000</v>
      </c>
    </row>
    <row r="41" spans="1:32" x14ac:dyDescent="0.35">
      <c r="A41" s="1">
        <v>0</v>
      </c>
      <c r="B41" t="s">
        <v>115</v>
      </c>
      <c r="C41" t="s">
        <v>116</v>
      </c>
      <c r="D41" t="s">
        <v>39</v>
      </c>
      <c r="E41" t="s">
        <v>39</v>
      </c>
      <c r="F41" t="s">
        <v>53</v>
      </c>
      <c r="G41">
        <v>30</v>
      </c>
      <c r="H41" t="s">
        <v>117</v>
      </c>
      <c r="I41">
        <v>2.5528674125671387</v>
      </c>
      <c r="J41">
        <v>1.5265672206878662</v>
      </c>
      <c r="K41">
        <v>3</v>
      </c>
      <c r="L41">
        <v>51000000</v>
      </c>
      <c r="M41">
        <v>17000000</v>
      </c>
      <c r="O41" t="s">
        <v>56</v>
      </c>
      <c r="P41">
        <v>3</v>
      </c>
      <c r="Q41">
        <v>49500000</v>
      </c>
      <c r="R41">
        <v>16500000</v>
      </c>
      <c r="S41">
        <f t="shared" si="8"/>
        <v>0</v>
      </c>
      <c r="T41">
        <f t="shared" si="9"/>
        <v>0</v>
      </c>
      <c r="U41">
        <f t="shared" si="1"/>
        <v>0</v>
      </c>
      <c r="V41">
        <v>0</v>
      </c>
      <c r="W41">
        <f t="shared" si="2"/>
        <v>0</v>
      </c>
      <c r="X41">
        <f t="shared" si="3"/>
        <v>0</v>
      </c>
      <c r="Y41">
        <f t="shared" si="4"/>
        <v>0</v>
      </c>
      <c r="Z41">
        <f t="shared" si="5"/>
        <v>0</v>
      </c>
      <c r="AA41">
        <f t="shared" si="10"/>
        <v>1</v>
      </c>
      <c r="AB41">
        <f t="shared" si="11"/>
        <v>1</v>
      </c>
      <c r="AC41">
        <f t="shared" si="12"/>
        <v>1</v>
      </c>
      <c r="AD41">
        <f t="shared" si="6"/>
        <v>0</v>
      </c>
      <c r="AE41">
        <f t="shared" si="7"/>
        <v>0</v>
      </c>
      <c r="AF41">
        <f t="shared" si="0"/>
        <v>17000000</v>
      </c>
    </row>
    <row r="42" spans="1:32" x14ac:dyDescent="0.35">
      <c r="A42" s="1">
        <v>0</v>
      </c>
      <c r="B42" t="s">
        <v>453</v>
      </c>
      <c r="C42" t="s">
        <v>10</v>
      </c>
      <c r="D42" t="s">
        <v>39</v>
      </c>
      <c r="E42" t="s">
        <v>39</v>
      </c>
      <c r="F42" t="s">
        <v>102</v>
      </c>
      <c r="G42">
        <v>37</v>
      </c>
      <c r="H42" t="s">
        <v>454</v>
      </c>
      <c r="I42">
        <v>0.27441394329071045</v>
      </c>
      <c r="J42">
        <v>1.5192273855209351</v>
      </c>
      <c r="K42">
        <v>1</v>
      </c>
      <c r="L42">
        <v>10000000</v>
      </c>
      <c r="M42">
        <v>10000000</v>
      </c>
      <c r="O42" t="s">
        <v>78</v>
      </c>
      <c r="P42">
        <v>1</v>
      </c>
      <c r="Q42">
        <v>15000000</v>
      </c>
      <c r="R42">
        <v>15000000</v>
      </c>
      <c r="S42">
        <f t="shared" si="8"/>
        <v>0</v>
      </c>
      <c r="T42">
        <f t="shared" si="9"/>
        <v>1</v>
      </c>
      <c r="U42">
        <f t="shared" si="1"/>
        <v>0</v>
      </c>
      <c r="V42">
        <v>0</v>
      </c>
      <c r="W42">
        <f t="shared" si="2"/>
        <v>0</v>
      </c>
      <c r="X42">
        <f t="shared" si="3"/>
        <v>0</v>
      </c>
      <c r="Y42">
        <f t="shared" si="4"/>
        <v>0</v>
      </c>
      <c r="Z42">
        <f t="shared" si="5"/>
        <v>0</v>
      </c>
      <c r="AA42">
        <f t="shared" si="10"/>
        <v>0</v>
      </c>
      <c r="AB42">
        <f t="shared" si="11"/>
        <v>0</v>
      </c>
      <c r="AC42">
        <f t="shared" si="12"/>
        <v>0</v>
      </c>
      <c r="AD42">
        <f t="shared" si="6"/>
        <v>0</v>
      </c>
      <c r="AE42">
        <f t="shared" si="7"/>
        <v>0</v>
      </c>
      <c r="AF42">
        <f t="shared" si="0"/>
        <v>10000000</v>
      </c>
    </row>
    <row r="43" spans="1:32" x14ac:dyDescent="0.35">
      <c r="A43" s="1">
        <v>0</v>
      </c>
      <c r="B43" t="s">
        <v>360</v>
      </c>
      <c r="C43" t="s">
        <v>3</v>
      </c>
      <c r="D43" t="s">
        <v>39</v>
      </c>
      <c r="E43" t="s">
        <v>39</v>
      </c>
      <c r="F43" t="s">
        <v>53</v>
      </c>
      <c r="G43">
        <v>30</v>
      </c>
      <c r="H43" t="s">
        <v>361</v>
      </c>
      <c r="I43">
        <v>0.53368353843688965</v>
      </c>
      <c r="J43">
        <v>1.5189570188522339</v>
      </c>
      <c r="K43">
        <v>2</v>
      </c>
      <c r="L43">
        <v>16000000</v>
      </c>
      <c r="M43">
        <v>8000000</v>
      </c>
      <c r="O43" t="s">
        <v>110</v>
      </c>
      <c r="P43">
        <v>1</v>
      </c>
      <c r="Q43">
        <v>8500000</v>
      </c>
      <c r="R43">
        <v>8500000</v>
      </c>
      <c r="S43">
        <f t="shared" si="8"/>
        <v>0</v>
      </c>
      <c r="T43">
        <f t="shared" si="9"/>
        <v>0</v>
      </c>
      <c r="U43">
        <f t="shared" si="1"/>
        <v>0</v>
      </c>
      <c r="V43">
        <v>1</v>
      </c>
      <c r="W43">
        <f t="shared" si="2"/>
        <v>0</v>
      </c>
      <c r="X43">
        <f t="shared" si="3"/>
        <v>0</v>
      </c>
      <c r="Y43">
        <f t="shared" si="4"/>
        <v>0</v>
      </c>
      <c r="Z43">
        <f t="shared" si="5"/>
        <v>0</v>
      </c>
      <c r="AA43">
        <f t="shared" si="10"/>
        <v>0</v>
      </c>
      <c r="AB43">
        <f t="shared" si="11"/>
        <v>0</v>
      </c>
      <c r="AC43">
        <f t="shared" si="12"/>
        <v>0</v>
      </c>
      <c r="AD43">
        <f t="shared" si="6"/>
        <v>0</v>
      </c>
      <c r="AE43">
        <f t="shared" si="7"/>
        <v>0</v>
      </c>
      <c r="AF43">
        <f t="shared" si="0"/>
        <v>8000000</v>
      </c>
    </row>
    <row r="44" spans="1:32" x14ac:dyDescent="0.35">
      <c r="A44" s="1">
        <v>0</v>
      </c>
      <c r="B44" t="s">
        <v>296</v>
      </c>
      <c r="C44" t="s">
        <v>10</v>
      </c>
      <c r="D44" t="s">
        <v>39</v>
      </c>
      <c r="E44" t="s">
        <v>39</v>
      </c>
      <c r="F44" t="s">
        <v>102</v>
      </c>
      <c r="G44">
        <v>30</v>
      </c>
      <c r="H44" t="s">
        <v>297</v>
      </c>
      <c r="I44">
        <v>0.76937061548233032</v>
      </c>
      <c r="J44">
        <v>1.4984276294708252</v>
      </c>
      <c r="K44">
        <v>2</v>
      </c>
      <c r="L44">
        <v>40000000</v>
      </c>
      <c r="M44">
        <v>20000000</v>
      </c>
      <c r="O44" t="s">
        <v>102</v>
      </c>
      <c r="P44">
        <v>2</v>
      </c>
      <c r="Q44">
        <v>26000000</v>
      </c>
      <c r="R44">
        <v>14555102</v>
      </c>
      <c r="S44">
        <f t="shared" si="8"/>
        <v>0</v>
      </c>
      <c r="T44">
        <f t="shared" si="9"/>
        <v>1</v>
      </c>
      <c r="U44">
        <f t="shared" si="1"/>
        <v>0</v>
      </c>
      <c r="V44">
        <v>0</v>
      </c>
      <c r="W44">
        <f t="shared" si="2"/>
        <v>0</v>
      </c>
      <c r="X44">
        <f t="shared" si="3"/>
        <v>0</v>
      </c>
      <c r="Y44">
        <f t="shared" si="4"/>
        <v>0</v>
      </c>
      <c r="Z44">
        <f t="shared" si="5"/>
        <v>0</v>
      </c>
      <c r="AA44">
        <f t="shared" si="10"/>
        <v>0</v>
      </c>
      <c r="AB44">
        <f t="shared" si="11"/>
        <v>0</v>
      </c>
      <c r="AC44">
        <f t="shared" si="12"/>
        <v>0</v>
      </c>
      <c r="AD44">
        <f t="shared" si="6"/>
        <v>0</v>
      </c>
      <c r="AE44">
        <f t="shared" si="7"/>
        <v>0</v>
      </c>
      <c r="AF44">
        <f t="shared" si="0"/>
        <v>20000000</v>
      </c>
    </row>
    <row r="45" spans="1:32" x14ac:dyDescent="0.35">
      <c r="A45" s="1">
        <v>1</v>
      </c>
      <c r="B45" t="s">
        <v>165</v>
      </c>
      <c r="C45" t="s">
        <v>3</v>
      </c>
      <c r="D45" t="s">
        <v>39</v>
      </c>
      <c r="E45" t="s">
        <v>39</v>
      </c>
      <c r="F45" t="s">
        <v>97</v>
      </c>
      <c r="G45">
        <v>30</v>
      </c>
      <c r="H45" t="s">
        <v>166</v>
      </c>
      <c r="I45">
        <v>1.769400954246521</v>
      </c>
      <c r="J45">
        <v>1.4981144666671753</v>
      </c>
      <c r="L45">
        <v>0</v>
      </c>
      <c r="O45" t="s">
        <v>104</v>
      </c>
      <c r="P45">
        <v>2</v>
      </c>
      <c r="Q45">
        <v>11500000</v>
      </c>
      <c r="R45">
        <v>5750000</v>
      </c>
      <c r="S45">
        <f t="shared" si="8"/>
        <v>0</v>
      </c>
      <c r="T45">
        <f t="shared" si="9"/>
        <v>0</v>
      </c>
      <c r="U45">
        <f t="shared" si="1"/>
        <v>0</v>
      </c>
      <c r="V45">
        <v>1</v>
      </c>
      <c r="W45">
        <f t="shared" si="2"/>
        <v>0</v>
      </c>
      <c r="X45">
        <f t="shared" si="3"/>
        <v>0</v>
      </c>
      <c r="Y45">
        <f t="shared" si="4"/>
        <v>0</v>
      </c>
      <c r="Z45">
        <f t="shared" si="5"/>
        <v>0</v>
      </c>
      <c r="AA45">
        <f t="shared" si="10"/>
        <v>0</v>
      </c>
      <c r="AB45">
        <f t="shared" si="11"/>
        <v>0</v>
      </c>
      <c r="AC45">
        <f t="shared" si="12"/>
        <v>0</v>
      </c>
      <c r="AD45">
        <f t="shared" si="6"/>
        <v>0</v>
      </c>
      <c r="AE45">
        <f t="shared" si="7"/>
        <v>0</v>
      </c>
      <c r="AF45">
        <f t="shared" si="0"/>
        <v>5750000</v>
      </c>
    </row>
    <row r="46" spans="1:32" x14ac:dyDescent="0.35">
      <c r="A46" s="1">
        <v>0</v>
      </c>
      <c r="B46" t="s">
        <v>123</v>
      </c>
      <c r="C46" t="s">
        <v>10</v>
      </c>
      <c r="D46" t="s">
        <v>33</v>
      </c>
      <c r="E46" t="s">
        <v>33</v>
      </c>
      <c r="F46" t="s">
        <v>97</v>
      </c>
      <c r="G46">
        <v>34</v>
      </c>
      <c r="H46" t="s">
        <v>124</v>
      </c>
      <c r="I46">
        <v>2.1737463474273682</v>
      </c>
      <c r="J46">
        <v>1.4836716651916504</v>
      </c>
      <c r="K46">
        <v>2</v>
      </c>
      <c r="L46">
        <v>25000000</v>
      </c>
      <c r="M46">
        <v>12500000</v>
      </c>
      <c r="O46" t="s">
        <v>125</v>
      </c>
      <c r="P46">
        <v>1</v>
      </c>
      <c r="Q46">
        <v>5250000</v>
      </c>
      <c r="R46">
        <v>5250000</v>
      </c>
      <c r="S46">
        <f t="shared" si="8"/>
        <v>0</v>
      </c>
      <c r="T46">
        <f t="shared" si="9"/>
        <v>1</v>
      </c>
      <c r="U46">
        <f t="shared" si="1"/>
        <v>0</v>
      </c>
      <c r="V46">
        <v>0</v>
      </c>
      <c r="W46">
        <f t="shared" si="2"/>
        <v>0</v>
      </c>
      <c r="X46">
        <f t="shared" si="3"/>
        <v>0</v>
      </c>
      <c r="Y46">
        <f t="shared" si="4"/>
        <v>0</v>
      </c>
      <c r="Z46">
        <f t="shared" si="5"/>
        <v>0</v>
      </c>
      <c r="AA46">
        <f t="shared" si="10"/>
        <v>0</v>
      </c>
      <c r="AB46">
        <f t="shared" si="11"/>
        <v>0</v>
      </c>
      <c r="AC46">
        <f t="shared" si="12"/>
        <v>0</v>
      </c>
      <c r="AD46">
        <f t="shared" si="6"/>
        <v>0</v>
      </c>
      <c r="AE46">
        <f t="shared" si="7"/>
        <v>0</v>
      </c>
      <c r="AF46">
        <f t="shared" si="0"/>
        <v>12500000</v>
      </c>
    </row>
    <row r="47" spans="1:32" x14ac:dyDescent="0.35">
      <c r="A47" s="1">
        <v>0</v>
      </c>
      <c r="B47" t="s">
        <v>312</v>
      </c>
      <c r="C47" t="s">
        <v>10</v>
      </c>
      <c r="D47" t="s">
        <v>39</v>
      </c>
      <c r="E47" t="s">
        <v>39</v>
      </c>
      <c r="F47" t="s">
        <v>51</v>
      </c>
      <c r="G47">
        <v>42</v>
      </c>
      <c r="H47" t="s">
        <v>313</v>
      </c>
      <c r="I47">
        <v>0.67786359786987305</v>
      </c>
      <c r="J47">
        <v>1.3841989040374756</v>
      </c>
      <c r="K47">
        <v>1</v>
      </c>
      <c r="L47">
        <v>15000000</v>
      </c>
      <c r="M47">
        <v>15000000</v>
      </c>
      <c r="O47" t="s">
        <v>42</v>
      </c>
      <c r="P47">
        <v>1</v>
      </c>
      <c r="Q47">
        <v>15000000</v>
      </c>
      <c r="R47">
        <v>15000000</v>
      </c>
      <c r="S47">
        <f t="shared" si="8"/>
        <v>0</v>
      </c>
      <c r="T47">
        <f t="shared" si="9"/>
        <v>1</v>
      </c>
      <c r="U47">
        <f t="shared" si="1"/>
        <v>0</v>
      </c>
      <c r="V47">
        <v>0</v>
      </c>
      <c r="W47">
        <f t="shared" si="2"/>
        <v>0</v>
      </c>
      <c r="X47">
        <f t="shared" si="3"/>
        <v>0</v>
      </c>
      <c r="Y47">
        <f t="shared" si="4"/>
        <v>0</v>
      </c>
      <c r="Z47">
        <f t="shared" si="5"/>
        <v>0</v>
      </c>
      <c r="AA47">
        <f t="shared" si="10"/>
        <v>0</v>
      </c>
      <c r="AB47">
        <f t="shared" si="11"/>
        <v>0</v>
      </c>
      <c r="AC47">
        <f t="shared" si="12"/>
        <v>0</v>
      </c>
      <c r="AD47">
        <f t="shared" si="6"/>
        <v>0</v>
      </c>
      <c r="AE47">
        <f t="shared" si="7"/>
        <v>0</v>
      </c>
      <c r="AF47">
        <f t="shared" si="0"/>
        <v>15000000</v>
      </c>
    </row>
    <row r="48" spans="1:32" x14ac:dyDescent="0.35">
      <c r="A48" s="1">
        <v>0</v>
      </c>
      <c r="B48" t="s">
        <v>624</v>
      </c>
      <c r="C48" t="s">
        <v>10</v>
      </c>
      <c r="D48" t="s">
        <v>39</v>
      </c>
      <c r="E48" t="s">
        <v>39</v>
      </c>
      <c r="F48" t="s">
        <v>66</v>
      </c>
      <c r="G48">
        <v>30</v>
      </c>
      <c r="H48" t="s">
        <v>625</v>
      </c>
      <c r="I48">
        <v>-9.5986157655715942E-2</v>
      </c>
      <c r="J48">
        <v>1.3838760852813721</v>
      </c>
      <c r="K48">
        <v>1</v>
      </c>
      <c r="L48">
        <v>15000000</v>
      </c>
      <c r="M48">
        <v>15000000</v>
      </c>
      <c r="O48" t="s">
        <v>53</v>
      </c>
      <c r="P48">
        <v>1</v>
      </c>
      <c r="Q48">
        <v>21050000</v>
      </c>
      <c r="R48">
        <v>21050000</v>
      </c>
      <c r="S48">
        <f t="shared" si="8"/>
        <v>0</v>
      </c>
      <c r="T48">
        <f t="shared" si="9"/>
        <v>1</v>
      </c>
      <c r="U48">
        <f t="shared" si="1"/>
        <v>0</v>
      </c>
      <c r="V48">
        <v>0</v>
      </c>
      <c r="W48">
        <f t="shared" si="2"/>
        <v>0</v>
      </c>
      <c r="X48">
        <f t="shared" si="3"/>
        <v>0</v>
      </c>
      <c r="Y48">
        <f t="shared" si="4"/>
        <v>0</v>
      </c>
      <c r="Z48">
        <f t="shared" si="5"/>
        <v>0</v>
      </c>
      <c r="AA48">
        <f t="shared" si="10"/>
        <v>0</v>
      </c>
      <c r="AB48">
        <f t="shared" si="11"/>
        <v>0</v>
      </c>
      <c r="AC48">
        <f t="shared" si="12"/>
        <v>0</v>
      </c>
      <c r="AD48">
        <f t="shared" si="6"/>
        <v>0</v>
      </c>
      <c r="AE48">
        <f t="shared" si="7"/>
        <v>0</v>
      </c>
      <c r="AF48">
        <f t="shared" si="0"/>
        <v>15000000</v>
      </c>
    </row>
    <row r="49" spans="1:32" x14ac:dyDescent="0.35">
      <c r="A49" s="1">
        <v>0</v>
      </c>
      <c r="B49" t="s">
        <v>624</v>
      </c>
      <c r="C49" t="s">
        <v>10</v>
      </c>
      <c r="D49" t="s">
        <v>39</v>
      </c>
      <c r="E49" t="s">
        <v>39</v>
      </c>
      <c r="F49" t="s">
        <v>66</v>
      </c>
      <c r="G49">
        <v>30</v>
      </c>
      <c r="H49" t="s">
        <v>625</v>
      </c>
      <c r="I49">
        <v>-9.5986157655715942E-2</v>
      </c>
      <c r="J49">
        <v>1.3838760852813721</v>
      </c>
      <c r="K49">
        <v>1</v>
      </c>
      <c r="L49">
        <v>15000000</v>
      </c>
      <c r="M49">
        <v>15000000</v>
      </c>
      <c r="O49" t="s">
        <v>134</v>
      </c>
      <c r="P49">
        <v>1</v>
      </c>
      <c r="Q49">
        <v>69462</v>
      </c>
      <c r="R49">
        <v>69462</v>
      </c>
      <c r="S49">
        <f t="shared" si="8"/>
        <v>0</v>
      </c>
      <c r="T49">
        <f t="shared" si="9"/>
        <v>1</v>
      </c>
      <c r="U49">
        <f t="shared" si="1"/>
        <v>0</v>
      </c>
      <c r="V49">
        <v>0</v>
      </c>
      <c r="W49">
        <f t="shared" si="2"/>
        <v>0</v>
      </c>
      <c r="X49">
        <f t="shared" si="3"/>
        <v>0</v>
      </c>
      <c r="Y49">
        <f t="shared" si="4"/>
        <v>0</v>
      </c>
      <c r="Z49">
        <f t="shared" si="5"/>
        <v>0</v>
      </c>
      <c r="AA49">
        <f t="shared" si="10"/>
        <v>0</v>
      </c>
      <c r="AB49">
        <f t="shared" si="11"/>
        <v>0</v>
      </c>
      <c r="AC49">
        <f t="shared" si="12"/>
        <v>0</v>
      </c>
      <c r="AD49">
        <f t="shared" si="6"/>
        <v>0</v>
      </c>
      <c r="AE49">
        <f t="shared" si="7"/>
        <v>0</v>
      </c>
      <c r="AF49">
        <f t="shared" si="0"/>
        <v>15000000</v>
      </c>
    </row>
    <row r="50" spans="1:32" x14ac:dyDescent="0.35">
      <c r="A50" s="1">
        <v>0</v>
      </c>
      <c r="B50" t="s">
        <v>228</v>
      </c>
      <c r="C50" t="s">
        <v>10</v>
      </c>
      <c r="D50" t="s">
        <v>39</v>
      </c>
      <c r="E50" t="s">
        <v>39</v>
      </c>
      <c r="F50" t="s">
        <v>48</v>
      </c>
      <c r="G50">
        <v>41</v>
      </c>
      <c r="H50" t="s">
        <v>229</v>
      </c>
      <c r="I50">
        <v>1.1207062005996704</v>
      </c>
      <c r="J50">
        <v>1.3801397085189819</v>
      </c>
      <c r="K50">
        <v>1</v>
      </c>
      <c r="L50">
        <v>14000000</v>
      </c>
      <c r="M50">
        <v>14000000</v>
      </c>
      <c r="O50" t="s">
        <v>56</v>
      </c>
      <c r="P50">
        <v>1</v>
      </c>
      <c r="Q50">
        <v>15000000</v>
      </c>
      <c r="R50">
        <v>15000000</v>
      </c>
      <c r="S50">
        <f t="shared" si="8"/>
        <v>0</v>
      </c>
      <c r="T50">
        <f t="shared" si="9"/>
        <v>1</v>
      </c>
      <c r="U50">
        <f t="shared" si="1"/>
        <v>0</v>
      </c>
      <c r="V50">
        <v>0</v>
      </c>
      <c r="W50">
        <f t="shared" si="2"/>
        <v>0</v>
      </c>
      <c r="X50">
        <f t="shared" si="3"/>
        <v>0</v>
      </c>
      <c r="Y50">
        <f t="shared" si="4"/>
        <v>0</v>
      </c>
      <c r="Z50">
        <f t="shared" si="5"/>
        <v>0</v>
      </c>
      <c r="AA50">
        <f t="shared" si="10"/>
        <v>0</v>
      </c>
      <c r="AB50">
        <f t="shared" si="11"/>
        <v>0</v>
      </c>
      <c r="AC50">
        <f t="shared" si="12"/>
        <v>0</v>
      </c>
      <c r="AD50">
        <f t="shared" si="6"/>
        <v>0</v>
      </c>
      <c r="AE50">
        <f t="shared" si="7"/>
        <v>0</v>
      </c>
      <c r="AF50">
        <f t="shared" si="0"/>
        <v>14000000</v>
      </c>
    </row>
    <row r="51" spans="1:32" x14ac:dyDescent="0.35">
      <c r="A51" s="1">
        <v>0</v>
      </c>
      <c r="B51" t="s">
        <v>176</v>
      </c>
      <c r="C51" t="s">
        <v>3</v>
      </c>
      <c r="D51" t="s">
        <v>39</v>
      </c>
      <c r="E51" t="s">
        <v>39</v>
      </c>
      <c r="F51" t="s">
        <v>46</v>
      </c>
      <c r="G51">
        <v>35</v>
      </c>
      <c r="H51" t="s">
        <v>177</v>
      </c>
      <c r="I51">
        <v>1.5625476837158203</v>
      </c>
      <c r="J51">
        <v>1.2703454494476318</v>
      </c>
      <c r="L51">
        <v>0</v>
      </c>
      <c r="O51" t="s">
        <v>97</v>
      </c>
      <c r="P51">
        <v>2</v>
      </c>
      <c r="Q51">
        <v>13500000</v>
      </c>
      <c r="R51">
        <v>6750000</v>
      </c>
      <c r="S51">
        <f t="shared" si="8"/>
        <v>0</v>
      </c>
      <c r="T51">
        <f t="shared" si="9"/>
        <v>0</v>
      </c>
      <c r="U51">
        <f t="shared" si="1"/>
        <v>0</v>
      </c>
      <c r="V51">
        <v>1</v>
      </c>
      <c r="W51">
        <f t="shared" si="2"/>
        <v>0</v>
      </c>
      <c r="X51">
        <f t="shared" si="3"/>
        <v>0</v>
      </c>
      <c r="Y51">
        <f t="shared" si="4"/>
        <v>0</v>
      </c>
      <c r="Z51">
        <f t="shared" si="5"/>
        <v>0</v>
      </c>
      <c r="AA51">
        <f t="shared" si="10"/>
        <v>0</v>
      </c>
      <c r="AB51">
        <f t="shared" si="11"/>
        <v>0</v>
      </c>
      <c r="AC51">
        <f t="shared" si="12"/>
        <v>0</v>
      </c>
      <c r="AD51">
        <f t="shared" si="6"/>
        <v>0</v>
      </c>
      <c r="AE51">
        <f t="shared" si="7"/>
        <v>0</v>
      </c>
      <c r="AF51">
        <f t="shared" si="0"/>
        <v>6750000</v>
      </c>
    </row>
    <row r="52" spans="1:32" x14ac:dyDescent="0.35">
      <c r="A52" s="1">
        <v>0</v>
      </c>
      <c r="B52" t="s">
        <v>206</v>
      </c>
      <c r="C52" t="s">
        <v>10</v>
      </c>
      <c r="D52" t="s">
        <v>39</v>
      </c>
      <c r="E52" t="s">
        <v>39</v>
      </c>
      <c r="F52" t="s">
        <v>40</v>
      </c>
      <c r="G52">
        <v>32</v>
      </c>
      <c r="H52" t="s">
        <v>207</v>
      </c>
      <c r="I52">
        <v>1.287661075592041</v>
      </c>
      <c r="J52">
        <v>1.1883374452590942</v>
      </c>
      <c r="K52">
        <v>2</v>
      </c>
      <c r="L52">
        <v>26000000</v>
      </c>
      <c r="M52">
        <v>13000000</v>
      </c>
      <c r="O52" t="s">
        <v>36</v>
      </c>
      <c r="P52">
        <v>2</v>
      </c>
      <c r="Q52">
        <v>34000000</v>
      </c>
      <c r="R52">
        <v>17000000</v>
      </c>
      <c r="S52">
        <f t="shared" si="8"/>
        <v>0</v>
      </c>
      <c r="T52">
        <f t="shared" si="9"/>
        <v>1</v>
      </c>
      <c r="U52">
        <f t="shared" si="1"/>
        <v>0</v>
      </c>
      <c r="V52">
        <v>0</v>
      </c>
      <c r="W52">
        <f t="shared" si="2"/>
        <v>0</v>
      </c>
      <c r="X52">
        <f t="shared" si="3"/>
        <v>0</v>
      </c>
      <c r="Y52">
        <f t="shared" si="4"/>
        <v>0</v>
      </c>
      <c r="Z52">
        <f t="shared" si="5"/>
        <v>0</v>
      </c>
      <c r="AA52">
        <f t="shared" si="10"/>
        <v>0</v>
      </c>
      <c r="AB52">
        <f t="shared" si="11"/>
        <v>0</v>
      </c>
      <c r="AC52">
        <f t="shared" si="12"/>
        <v>0</v>
      </c>
      <c r="AD52">
        <f t="shared" si="6"/>
        <v>0</v>
      </c>
      <c r="AE52">
        <f t="shared" si="7"/>
        <v>0</v>
      </c>
      <c r="AF52">
        <f t="shared" si="0"/>
        <v>13000000</v>
      </c>
    </row>
    <row r="53" spans="1:32" x14ac:dyDescent="0.35">
      <c r="A53" s="1">
        <v>0</v>
      </c>
      <c r="B53" t="s">
        <v>240</v>
      </c>
      <c r="C53" t="s">
        <v>10</v>
      </c>
      <c r="D53" t="s">
        <v>39</v>
      </c>
      <c r="E53" t="s">
        <v>33</v>
      </c>
      <c r="F53" t="s">
        <v>36</v>
      </c>
      <c r="G53">
        <v>36</v>
      </c>
      <c r="H53" t="s">
        <v>241</v>
      </c>
      <c r="I53">
        <v>1.0541503429412842</v>
      </c>
      <c r="J53">
        <v>1.1716850996017456</v>
      </c>
      <c r="K53">
        <v>2</v>
      </c>
      <c r="L53">
        <v>24000000</v>
      </c>
      <c r="M53">
        <v>12000000</v>
      </c>
      <c r="O53" t="s">
        <v>40</v>
      </c>
      <c r="P53">
        <v>1</v>
      </c>
      <c r="Q53">
        <v>4250000</v>
      </c>
      <c r="R53">
        <v>4250000</v>
      </c>
      <c r="S53">
        <f t="shared" si="8"/>
        <v>0</v>
      </c>
      <c r="T53">
        <f t="shared" si="9"/>
        <v>1</v>
      </c>
      <c r="U53">
        <f t="shared" si="1"/>
        <v>0</v>
      </c>
      <c r="V53">
        <v>0</v>
      </c>
      <c r="W53">
        <f t="shared" si="2"/>
        <v>0</v>
      </c>
      <c r="X53">
        <f t="shared" si="3"/>
        <v>0</v>
      </c>
      <c r="Y53">
        <f t="shared" si="4"/>
        <v>0</v>
      </c>
      <c r="Z53">
        <f t="shared" si="5"/>
        <v>0</v>
      </c>
      <c r="AA53">
        <f t="shared" si="10"/>
        <v>0</v>
      </c>
      <c r="AB53">
        <f t="shared" si="11"/>
        <v>0</v>
      </c>
      <c r="AC53">
        <f t="shared" si="12"/>
        <v>0</v>
      </c>
      <c r="AD53">
        <f t="shared" si="6"/>
        <v>0</v>
      </c>
      <c r="AE53">
        <f t="shared" si="7"/>
        <v>0</v>
      </c>
      <c r="AF53">
        <f t="shared" si="0"/>
        <v>12000000</v>
      </c>
    </row>
    <row r="54" spans="1:32" x14ac:dyDescent="0.35">
      <c r="A54" s="1">
        <v>0</v>
      </c>
      <c r="B54" t="s">
        <v>153</v>
      </c>
      <c r="C54" t="s">
        <v>3</v>
      </c>
      <c r="D54" t="s">
        <v>39</v>
      </c>
      <c r="E54" t="s">
        <v>39</v>
      </c>
      <c r="F54" t="s">
        <v>48</v>
      </c>
      <c r="G54">
        <v>36</v>
      </c>
      <c r="H54" t="s">
        <v>154</v>
      </c>
      <c r="I54">
        <v>1.8475935459136963</v>
      </c>
      <c r="J54">
        <v>1.1399804353713989</v>
      </c>
      <c r="K54">
        <v>1</v>
      </c>
      <c r="L54">
        <v>7000000</v>
      </c>
      <c r="M54">
        <v>7000000</v>
      </c>
      <c r="O54" t="s">
        <v>62</v>
      </c>
      <c r="P54">
        <v>2</v>
      </c>
      <c r="Q54">
        <v>12000000</v>
      </c>
      <c r="R54">
        <v>6000000</v>
      </c>
      <c r="S54">
        <f t="shared" si="8"/>
        <v>0</v>
      </c>
      <c r="T54">
        <f t="shared" si="9"/>
        <v>0</v>
      </c>
      <c r="U54">
        <f t="shared" si="1"/>
        <v>0</v>
      </c>
      <c r="V54">
        <v>1</v>
      </c>
      <c r="W54">
        <f t="shared" si="2"/>
        <v>0</v>
      </c>
      <c r="X54">
        <f t="shared" si="3"/>
        <v>0</v>
      </c>
      <c r="Y54">
        <f t="shared" si="4"/>
        <v>0</v>
      </c>
      <c r="Z54">
        <f t="shared" si="5"/>
        <v>0</v>
      </c>
      <c r="AA54">
        <f t="shared" si="10"/>
        <v>0</v>
      </c>
      <c r="AB54">
        <f t="shared" si="11"/>
        <v>0</v>
      </c>
      <c r="AC54">
        <f t="shared" si="12"/>
        <v>0</v>
      </c>
      <c r="AD54">
        <f t="shared" si="6"/>
        <v>0</v>
      </c>
      <c r="AE54">
        <f t="shared" si="7"/>
        <v>0</v>
      </c>
      <c r="AF54">
        <f t="shared" si="0"/>
        <v>7000000</v>
      </c>
    </row>
    <row r="55" spans="1:32" x14ac:dyDescent="0.35">
      <c r="A55" s="1">
        <v>0</v>
      </c>
      <c r="B55" t="s">
        <v>197</v>
      </c>
      <c r="C55" t="s">
        <v>32</v>
      </c>
      <c r="D55" t="s">
        <v>33</v>
      </c>
      <c r="E55" t="s">
        <v>39</v>
      </c>
      <c r="F55" t="s">
        <v>42</v>
      </c>
      <c r="G55">
        <v>32</v>
      </c>
      <c r="H55" t="s">
        <v>198</v>
      </c>
      <c r="I55">
        <v>1.3144761323928833</v>
      </c>
      <c r="J55">
        <v>1.1102286577224731</v>
      </c>
      <c r="K55">
        <v>1</v>
      </c>
      <c r="L55">
        <v>12000000</v>
      </c>
      <c r="M55">
        <v>12000000</v>
      </c>
      <c r="O55" t="s">
        <v>66</v>
      </c>
      <c r="P55">
        <v>1</v>
      </c>
      <c r="Q55">
        <v>17000000</v>
      </c>
      <c r="R55">
        <v>17000000</v>
      </c>
      <c r="S55">
        <f t="shared" si="8"/>
        <v>0</v>
      </c>
      <c r="T55">
        <f t="shared" si="9"/>
        <v>0</v>
      </c>
      <c r="U55">
        <f t="shared" si="1"/>
        <v>0</v>
      </c>
      <c r="V55">
        <v>0</v>
      </c>
      <c r="W55">
        <f t="shared" si="2"/>
        <v>0</v>
      </c>
      <c r="X55">
        <f t="shared" si="3"/>
        <v>0</v>
      </c>
      <c r="Y55">
        <f t="shared" si="4"/>
        <v>0</v>
      </c>
      <c r="Z55">
        <f t="shared" si="5"/>
        <v>0</v>
      </c>
      <c r="AA55">
        <f t="shared" si="10"/>
        <v>1</v>
      </c>
      <c r="AB55">
        <f t="shared" si="11"/>
        <v>0</v>
      </c>
      <c r="AC55">
        <f t="shared" si="12"/>
        <v>1</v>
      </c>
      <c r="AD55">
        <f t="shared" si="6"/>
        <v>0</v>
      </c>
      <c r="AE55">
        <f t="shared" si="7"/>
        <v>0</v>
      </c>
      <c r="AF55">
        <f t="shared" si="0"/>
        <v>12000000</v>
      </c>
    </row>
    <row r="56" spans="1:32" x14ac:dyDescent="0.35">
      <c r="A56" s="1">
        <v>0</v>
      </c>
      <c r="B56" t="s">
        <v>321</v>
      </c>
      <c r="C56" t="s">
        <v>10</v>
      </c>
      <c r="D56" t="s">
        <v>33</v>
      </c>
      <c r="E56" t="s">
        <v>33</v>
      </c>
      <c r="F56" t="s">
        <v>66</v>
      </c>
      <c r="G56">
        <v>37</v>
      </c>
      <c r="H56" t="s">
        <v>322</v>
      </c>
      <c r="I56">
        <v>0.65915322303771973</v>
      </c>
      <c r="J56">
        <v>1.0802878141403198</v>
      </c>
      <c r="L56">
        <v>0</v>
      </c>
      <c r="O56" t="s">
        <v>66</v>
      </c>
      <c r="P56">
        <v>1</v>
      </c>
      <c r="Q56">
        <v>7500000</v>
      </c>
      <c r="R56">
        <v>7500000</v>
      </c>
      <c r="S56">
        <f t="shared" si="8"/>
        <v>0</v>
      </c>
      <c r="T56">
        <f t="shared" si="9"/>
        <v>1</v>
      </c>
      <c r="U56">
        <f t="shared" si="1"/>
        <v>0</v>
      </c>
      <c r="V56">
        <v>0</v>
      </c>
      <c r="W56">
        <f t="shared" si="2"/>
        <v>0</v>
      </c>
      <c r="X56">
        <f t="shared" si="3"/>
        <v>0</v>
      </c>
      <c r="Y56">
        <f t="shared" si="4"/>
        <v>0</v>
      </c>
      <c r="Z56">
        <f t="shared" si="5"/>
        <v>0</v>
      </c>
      <c r="AA56">
        <f t="shared" si="10"/>
        <v>0</v>
      </c>
      <c r="AB56">
        <f t="shared" si="11"/>
        <v>0</v>
      </c>
      <c r="AC56">
        <f t="shared" si="12"/>
        <v>0</v>
      </c>
      <c r="AD56">
        <f t="shared" si="6"/>
        <v>0</v>
      </c>
      <c r="AE56">
        <f t="shared" si="7"/>
        <v>0</v>
      </c>
      <c r="AF56">
        <f t="shared" si="0"/>
        <v>7500000</v>
      </c>
    </row>
    <row r="57" spans="1:32" x14ac:dyDescent="0.35">
      <c r="A57" s="1">
        <v>0</v>
      </c>
      <c r="B57" t="s">
        <v>200</v>
      </c>
      <c r="C57" t="s">
        <v>10</v>
      </c>
      <c r="D57" t="s">
        <v>45</v>
      </c>
      <c r="E57" t="s">
        <v>39</v>
      </c>
      <c r="F57" t="s">
        <v>184</v>
      </c>
      <c r="G57">
        <v>38</v>
      </c>
      <c r="H57" t="s">
        <v>201</v>
      </c>
      <c r="I57">
        <v>1.3104637861251831</v>
      </c>
      <c r="J57">
        <v>1.0387334823608398</v>
      </c>
      <c r="K57">
        <v>1</v>
      </c>
      <c r="L57">
        <v>8000000</v>
      </c>
      <c r="M57">
        <v>8000000</v>
      </c>
      <c r="S57">
        <f t="shared" si="8"/>
        <v>0</v>
      </c>
      <c r="T57">
        <f t="shared" si="9"/>
        <v>1</v>
      </c>
      <c r="U57">
        <f t="shared" si="1"/>
        <v>0</v>
      </c>
      <c r="V57">
        <v>0</v>
      </c>
      <c r="W57">
        <f t="shared" si="2"/>
        <v>0</v>
      </c>
      <c r="X57">
        <f t="shared" si="3"/>
        <v>0</v>
      </c>
      <c r="Y57">
        <f t="shared" si="4"/>
        <v>0</v>
      </c>
      <c r="Z57">
        <f t="shared" si="5"/>
        <v>0</v>
      </c>
      <c r="AA57">
        <f t="shared" si="10"/>
        <v>0</v>
      </c>
      <c r="AB57">
        <f t="shared" si="11"/>
        <v>0</v>
      </c>
      <c r="AC57">
        <f t="shared" si="12"/>
        <v>0</v>
      </c>
      <c r="AD57">
        <f t="shared" si="6"/>
        <v>0</v>
      </c>
      <c r="AE57">
        <f t="shared" si="7"/>
        <v>0</v>
      </c>
      <c r="AF57">
        <f t="shared" si="0"/>
        <v>8000000</v>
      </c>
    </row>
    <row r="58" spans="1:32" x14ac:dyDescent="0.35">
      <c r="A58" s="1">
        <v>0</v>
      </c>
      <c r="B58" t="s">
        <v>428</v>
      </c>
      <c r="C58" t="s">
        <v>10</v>
      </c>
      <c r="D58" t="s">
        <v>39</v>
      </c>
      <c r="E58" t="s">
        <v>39</v>
      </c>
      <c r="F58" t="s">
        <v>151</v>
      </c>
      <c r="G58">
        <v>27</v>
      </c>
      <c r="H58" t="s">
        <v>429</v>
      </c>
      <c r="I58">
        <v>0.36276072263717651</v>
      </c>
      <c r="J58">
        <v>1.0183967351913452</v>
      </c>
      <c r="L58">
        <v>0</v>
      </c>
      <c r="O58" t="s">
        <v>141</v>
      </c>
      <c r="P58">
        <v>1</v>
      </c>
      <c r="Q58">
        <v>9000000</v>
      </c>
      <c r="R58">
        <v>9000000</v>
      </c>
      <c r="S58">
        <f t="shared" si="8"/>
        <v>0</v>
      </c>
      <c r="T58">
        <f t="shared" si="9"/>
        <v>1</v>
      </c>
      <c r="U58">
        <f t="shared" si="1"/>
        <v>0</v>
      </c>
      <c r="V58">
        <v>0</v>
      </c>
      <c r="W58">
        <f t="shared" si="2"/>
        <v>0</v>
      </c>
      <c r="X58">
        <f t="shared" si="3"/>
        <v>0</v>
      </c>
      <c r="Y58">
        <f t="shared" si="4"/>
        <v>0</v>
      </c>
      <c r="Z58">
        <f t="shared" si="5"/>
        <v>0</v>
      </c>
      <c r="AA58">
        <f t="shared" si="10"/>
        <v>0</v>
      </c>
      <c r="AB58">
        <f t="shared" si="11"/>
        <v>0</v>
      </c>
      <c r="AC58">
        <f t="shared" si="12"/>
        <v>0</v>
      </c>
      <c r="AD58">
        <f t="shared" si="6"/>
        <v>0</v>
      </c>
      <c r="AE58">
        <f t="shared" si="7"/>
        <v>0</v>
      </c>
      <c r="AF58">
        <f t="shared" si="0"/>
        <v>9000000</v>
      </c>
    </row>
    <row r="59" spans="1:32" x14ac:dyDescent="0.35">
      <c r="A59" s="1">
        <v>0</v>
      </c>
      <c r="B59" t="s">
        <v>309</v>
      </c>
      <c r="C59" t="s">
        <v>10</v>
      </c>
      <c r="D59" t="s">
        <v>39</v>
      </c>
      <c r="E59" t="s">
        <v>39</v>
      </c>
      <c r="F59" t="s">
        <v>81</v>
      </c>
      <c r="G59">
        <v>33</v>
      </c>
      <c r="H59" t="s">
        <v>310</v>
      </c>
      <c r="I59">
        <v>0.67994749546051025</v>
      </c>
      <c r="J59">
        <v>1.0085035562515259</v>
      </c>
      <c r="K59">
        <v>1</v>
      </c>
      <c r="L59">
        <v>5500000</v>
      </c>
      <c r="M59">
        <v>5500000</v>
      </c>
      <c r="O59" t="s">
        <v>81</v>
      </c>
      <c r="P59">
        <v>1</v>
      </c>
      <c r="Q59">
        <v>7000000</v>
      </c>
      <c r="R59">
        <v>7000000</v>
      </c>
      <c r="S59">
        <f t="shared" si="8"/>
        <v>0</v>
      </c>
      <c r="T59">
        <f t="shared" si="9"/>
        <v>1</v>
      </c>
      <c r="U59">
        <f t="shared" si="1"/>
        <v>0</v>
      </c>
      <c r="V59">
        <v>0</v>
      </c>
      <c r="W59">
        <f t="shared" si="2"/>
        <v>0</v>
      </c>
      <c r="X59">
        <f t="shared" si="3"/>
        <v>0</v>
      </c>
      <c r="Y59">
        <f t="shared" si="4"/>
        <v>0</v>
      </c>
      <c r="Z59">
        <f t="shared" si="5"/>
        <v>0</v>
      </c>
      <c r="AA59">
        <f t="shared" si="10"/>
        <v>0</v>
      </c>
      <c r="AB59">
        <f t="shared" si="11"/>
        <v>0</v>
      </c>
      <c r="AC59">
        <f t="shared" si="12"/>
        <v>0</v>
      </c>
      <c r="AD59">
        <f t="shared" si="6"/>
        <v>0</v>
      </c>
      <c r="AE59">
        <f t="shared" si="7"/>
        <v>0</v>
      </c>
      <c r="AF59">
        <f t="shared" si="0"/>
        <v>5500000</v>
      </c>
    </row>
    <row r="60" spans="1:32" x14ac:dyDescent="0.35">
      <c r="A60" s="1">
        <v>0</v>
      </c>
      <c r="B60" t="s">
        <v>190</v>
      </c>
      <c r="C60" t="s">
        <v>191</v>
      </c>
      <c r="D60" t="s">
        <v>33</v>
      </c>
      <c r="E60" t="s">
        <v>33</v>
      </c>
      <c r="F60" t="s">
        <v>36</v>
      </c>
      <c r="G60">
        <v>31</v>
      </c>
      <c r="H60" t="s">
        <v>192</v>
      </c>
      <c r="I60">
        <v>1.3797411918640137</v>
      </c>
      <c r="J60">
        <v>0.98574739694595337</v>
      </c>
      <c r="K60">
        <v>2</v>
      </c>
      <c r="L60">
        <v>14000000</v>
      </c>
      <c r="M60">
        <v>7000000</v>
      </c>
      <c r="O60" t="s">
        <v>36</v>
      </c>
      <c r="P60">
        <v>1</v>
      </c>
      <c r="Q60">
        <v>7500000</v>
      </c>
      <c r="R60">
        <v>7500000</v>
      </c>
      <c r="S60">
        <f t="shared" si="8"/>
        <v>0</v>
      </c>
      <c r="T60">
        <f t="shared" si="9"/>
        <v>0</v>
      </c>
      <c r="U60">
        <f t="shared" si="1"/>
        <v>0</v>
      </c>
      <c r="V60">
        <v>0</v>
      </c>
      <c r="W60">
        <f t="shared" si="2"/>
        <v>0</v>
      </c>
      <c r="X60">
        <f t="shared" si="3"/>
        <v>0</v>
      </c>
      <c r="Y60">
        <f t="shared" si="4"/>
        <v>0</v>
      </c>
      <c r="Z60">
        <f t="shared" si="5"/>
        <v>0</v>
      </c>
      <c r="AA60">
        <f t="shared" si="10"/>
        <v>1</v>
      </c>
      <c r="AB60">
        <f t="shared" si="11"/>
        <v>0</v>
      </c>
      <c r="AC60">
        <f t="shared" si="12"/>
        <v>1</v>
      </c>
      <c r="AD60">
        <f t="shared" si="6"/>
        <v>0</v>
      </c>
      <c r="AE60">
        <f t="shared" si="7"/>
        <v>1</v>
      </c>
      <c r="AF60">
        <f t="shared" si="0"/>
        <v>7000000</v>
      </c>
    </row>
    <row r="61" spans="1:32" x14ac:dyDescent="0.35">
      <c r="A61" s="1">
        <v>0</v>
      </c>
      <c r="B61" t="s">
        <v>250</v>
      </c>
      <c r="C61" t="s">
        <v>65</v>
      </c>
      <c r="D61" t="s">
        <v>33</v>
      </c>
      <c r="E61" t="s">
        <v>33</v>
      </c>
      <c r="F61" t="s">
        <v>100</v>
      </c>
      <c r="G61">
        <v>32</v>
      </c>
      <c r="H61" t="s">
        <v>251</v>
      </c>
      <c r="I61">
        <v>0.95013284683227539</v>
      </c>
      <c r="J61">
        <v>0.97045028209686279</v>
      </c>
      <c r="K61">
        <v>2</v>
      </c>
      <c r="L61">
        <v>22000000</v>
      </c>
      <c r="M61">
        <v>11000000</v>
      </c>
      <c r="O61" t="s">
        <v>134</v>
      </c>
      <c r="P61">
        <v>1</v>
      </c>
      <c r="Q61">
        <v>10000000</v>
      </c>
      <c r="R61">
        <v>10000000</v>
      </c>
      <c r="S61">
        <f t="shared" si="8"/>
        <v>0</v>
      </c>
      <c r="T61">
        <f t="shared" si="9"/>
        <v>0</v>
      </c>
      <c r="U61">
        <f t="shared" si="1"/>
        <v>0</v>
      </c>
      <c r="V61">
        <v>0</v>
      </c>
      <c r="W61">
        <f t="shared" si="2"/>
        <v>0</v>
      </c>
      <c r="X61">
        <f t="shared" si="3"/>
        <v>0</v>
      </c>
      <c r="Y61">
        <f t="shared" si="4"/>
        <v>0</v>
      </c>
      <c r="Z61">
        <f t="shared" si="5"/>
        <v>0</v>
      </c>
      <c r="AA61">
        <f t="shared" si="10"/>
        <v>1</v>
      </c>
      <c r="AB61">
        <f t="shared" si="11"/>
        <v>0</v>
      </c>
      <c r="AC61">
        <f t="shared" si="12"/>
        <v>1</v>
      </c>
      <c r="AD61">
        <f t="shared" si="6"/>
        <v>0</v>
      </c>
      <c r="AE61">
        <f t="shared" si="7"/>
        <v>0</v>
      </c>
      <c r="AF61">
        <f t="shared" si="0"/>
        <v>11000000</v>
      </c>
    </row>
    <row r="62" spans="1:32" x14ac:dyDescent="0.35">
      <c r="A62" s="1">
        <v>0</v>
      </c>
      <c r="B62" t="s">
        <v>243</v>
      </c>
      <c r="C62" t="s">
        <v>244</v>
      </c>
      <c r="D62" t="s">
        <v>33</v>
      </c>
      <c r="E62" t="s">
        <v>33</v>
      </c>
      <c r="F62" t="s">
        <v>104</v>
      </c>
      <c r="G62">
        <v>34</v>
      </c>
      <c r="H62" t="s">
        <v>245</v>
      </c>
      <c r="I62">
        <v>1.0476001501083374</v>
      </c>
      <c r="J62">
        <v>0.96923506259918213</v>
      </c>
      <c r="L62">
        <v>0</v>
      </c>
      <c r="O62" t="s">
        <v>151</v>
      </c>
      <c r="P62">
        <v>1</v>
      </c>
      <c r="Q62">
        <v>1950000</v>
      </c>
      <c r="R62">
        <v>1950000</v>
      </c>
      <c r="S62">
        <f t="shared" si="8"/>
        <v>0</v>
      </c>
      <c r="T62">
        <f t="shared" si="9"/>
        <v>0</v>
      </c>
      <c r="U62">
        <f t="shared" si="1"/>
        <v>0</v>
      </c>
      <c r="V62">
        <v>0</v>
      </c>
      <c r="W62">
        <f t="shared" si="2"/>
        <v>0</v>
      </c>
      <c r="X62">
        <f t="shared" si="3"/>
        <v>0</v>
      </c>
      <c r="Y62">
        <f t="shared" si="4"/>
        <v>0</v>
      </c>
      <c r="Z62">
        <f t="shared" si="5"/>
        <v>0</v>
      </c>
      <c r="AA62">
        <f t="shared" si="10"/>
        <v>1</v>
      </c>
      <c r="AB62">
        <f t="shared" si="11"/>
        <v>1</v>
      </c>
      <c r="AC62">
        <f t="shared" si="12"/>
        <v>1</v>
      </c>
      <c r="AD62">
        <f t="shared" si="6"/>
        <v>0</v>
      </c>
      <c r="AE62">
        <f t="shared" si="7"/>
        <v>0</v>
      </c>
      <c r="AF62">
        <f t="shared" si="0"/>
        <v>1950000</v>
      </c>
    </row>
    <row r="63" spans="1:32" x14ac:dyDescent="0.35">
      <c r="A63" s="1">
        <v>0</v>
      </c>
      <c r="B63" t="s">
        <v>183</v>
      </c>
      <c r="C63" t="s">
        <v>10</v>
      </c>
      <c r="D63" t="s">
        <v>39</v>
      </c>
      <c r="E63" t="s">
        <v>39</v>
      </c>
      <c r="F63" t="s">
        <v>184</v>
      </c>
      <c r="G63">
        <v>37</v>
      </c>
      <c r="H63" t="s">
        <v>185</v>
      </c>
      <c r="I63">
        <v>1.428179144859314</v>
      </c>
      <c r="J63">
        <v>0.96512174606323242</v>
      </c>
      <c r="K63">
        <v>1</v>
      </c>
      <c r="L63">
        <v>10000000</v>
      </c>
      <c r="M63">
        <v>10000000</v>
      </c>
      <c r="O63" t="s">
        <v>56</v>
      </c>
      <c r="P63">
        <v>1</v>
      </c>
      <c r="Q63">
        <v>5250000</v>
      </c>
      <c r="R63">
        <v>5250000</v>
      </c>
      <c r="S63">
        <f t="shared" si="8"/>
        <v>0</v>
      </c>
      <c r="T63">
        <f t="shared" si="9"/>
        <v>1</v>
      </c>
      <c r="U63">
        <f t="shared" si="1"/>
        <v>0</v>
      </c>
      <c r="V63">
        <v>0</v>
      </c>
      <c r="W63">
        <f t="shared" si="2"/>
        <v>0</v>
      </c>
      <c r="X63">
        <f t="shared" si="3"/>
        <v>0</v>
      </c>
      <c r="Y63">
        <f t="shared" si="4"/>
        <v>0</v>
      </c>
      <c r="Z63">
        <f t="shared" si="5"/>
        <v>0</v>
      </c>
      <c r="AA63">
        <f t="shared" si="10"/>
        <v>0</v>
      </c>
      <c r="AB63">
        <f t="shared" si="11"/>
        <v>0</v>
      </c>
      <c r="AC63">
        <f t="shared" si="12"/>
        <v>0</v>
      </c>
      <c r="AD63">
        <f t="shared" si="6"/>
        <v>0</v>
      </c>
      <c r="AE63">
        <f t="shared" si="7"/>
        <v>0</v>
      </c>
      <c r="AF63">
        <f t="shared" si="0"/>
        <v>10000000</v>
      </c>
    </row>
    <row r="64" spans="1:32" x14ac:dyDescent="0.35">
      <c r="A64" s="1">
        <v>0</v>
      </c>
      <c r="B64" t="s">
        <v>374</v>
      </c>
      <c r="C64" t="s">
        <v>10</v>
      </c>
      <c r="D64" t="s">
        <v>33</v>
      </c>
      <c r="E64" t="s">
        <v>33</v>
      </c>
      <c r="F64" t="s">
        <v>46</v>
      </c>
      <c r="G64">
        <v>34</v>
      </c>
      <c r="H64" t="s">
        <v>375</v>
      </c>
      <c r="I64">
        <v>0.49794203042984009</v>
      </c>
      <c r="J64">
        <v>0.91062599420547485</v>
      </c>
      <c r="K64">
        <v>1</v>
      </c>
      <c r="L64">
        <v>7000000</v>
      </c>
      <c r="M64">
        <v>7000000</v>
      </c>
      <c r="O64" t="s">
        <v>151</v>
      </c>
      <c r="P64">
        <v>1</v>
      </c>
      <c r="Q64">
        <v>5000000</v>
      </c>
      <c r="R64">
        <v>5000000</v>
      </c>
      <c r="S64">
        <f t="shared" si="8"/>
        <v>0</v>
      </c>
      <c r="T64">
        <f t="shared" si="9"/>
        <v>1</v>
      </c>
      <c r="U64">
        <f t="shared" si="1"/>
        <v>0</v>
      </c>
      <c r="V64">
        <v>0</v>
      </c>
      <c r="W64">
        <f t="shared" si="2"/>
        <v>0</v>
      </c>
      <c r="X64">
        <f t="shared" si="3"/>
        <v>0</v>
      </c>
      <c r="Y64">
        <f t="shared" si="4"/>
        <v>0</v>
      </c>
      <c r="Z64">
        <f t="shared" si="5"/>
        <v>0</v>
      </c>
      <c r="AA64">
        <f t="shared" si="10"/>
        <v>0</v>
      </c>
      <c r="AB64">
        <f t="shared" si="11"/>
        <v>0</v>
      </c>
      <c r="AC64">
        <f t="shared" si="12"/>
        <v>0</v>
      </c>
      <c r="AD64">
        <f t="shared" si="6"/>
        <v>0</v>
      </c>
      <c r="AE64">
        <f t="shared" si="7"/>
        <v>0</v>
      </c>
      <c r="AF64">
        <f t="shared" si="0"/>
        <v>7000000</v>
      </c>
    </row>
    <row r="65" spans="1:32" x14ac:dyDescent="0.35">
      <c r="A65" s="1">
        <v>0</v>
      </c>
      <c r="B65" t="s">
        <v>409</v>
      </c>
      <c r="C65" t="s">
        <v>10</v>
      </c>
      <c r="D65" t="s">
        <v>39</v>
      </c>
      <c r="E65" t="s">
        <v>39</v>
      </c>
      <c r="F65" t="s">
        <v>104</v>
      </c>
      <c r="G65">
        <v>35</v>
      </c>
      <c r="H65" t="s">
        <v>410</v>
      </c>
      <c r="I65">
        <v>0.41013327240943909</v>
      </c>
      <c r="J65">
        <v>0.85594969987869263</v>
      </c>
      <c r="L65">
        <v>0</v>
      </c>
      <c r="O65" t="s">
        <v>62</v>
      </c>
      <c r="P65">
        <v>1</v>
      </c>
      <c r="Q65">
        <v>2500000</v>
      </c>
      <c r="R65">
        <v>2500000</v>
      </c>
      <c r="S65">
        <f t="shared" si="8"/>
        <v>0</v>
      </c>
      <c r="T65">
        <f t="shared" si="9"/>
        <v>1</v>
      </c>
      <c r="U65">
        <f t="shared" si="1"/>
        <v>0</v>
      </c>
      <c r="V65">
        <v>0</v>
      </c>
      <c r="W65">
        <f t="shared" si="2"/>
        <v>0</v>
      </c>
      <c r="X65">
        <f t="shared" si="3"/>
        <v>0</v>
      </c>
      <c r="Y65">
        <f t="shared" si="4"/>
        <v>0</v>
      </c>
      <c r="Z65">
        <f t="shared" si="5"/>
        <v>0</v>
      </c>
      <c r="AA65">
        <f t="shared" si="10"/>
        <v>0</v>
      </c>
      <c r="AB65">
        <f t="shared" si="11"/>
        <v>0</v>
      </c>
      <c r="AC65">
        <f t="shared" si="12"/>
        <v>0</v>
      </c>
      <c r="AD65">
        <f t="shared" si="6"/>
        <v>0</v>
      </c>
      <c r="AE65">
        <f t="shared" si="7"/>
        <v>0</v>
      </c>
      <c r="AF65">
        <f t="shared" si="0"/>
        <v>2500000</v>
      </c>
    </row>
    <row r="66" spans="1:32" x14ac:dyDescent="0.35">
      <c r="A66" s="1">
        <v>0</v>
      </c>
      <c r="B66" t="s">
        <v>133</v>
      </c>
      <c r="C66" t="s">
        <v>9</v>
      </c>
      <c r="D66" t="s">
        <v>39</v>
      </c>
      <c r="E66" t="s">
        <v>39</v>
      </c>
      <c r="F66" t="s">
        <v>134</v>
      </c>
      <c r="G66">
        <v>32</v>
      </c>
      <c r="H66" t="s">
        <v>135</v>
      </c>
      <c r="I66">
        <v>2.0313034057617188</v>
      </c>
      <c r="J66">
        <v>0.82233375310897827</v>
      </c>
      <c r="K66">
        <v>3</v>
      </c>
      <c r="L66">
        <v>30000000</v>
      </c>
      <c r="M66">
        <v>10000000</v>
      </c>
      <c r="O66" t="s">
        <v>86</v>
      </c>
      <c r="P66">
        <v>3</v>
      </c>
      <c r="Q66">
        <v>33000000</v>
      </c>
      <c r="R66">
        <v>11000000</v>
      </c>
      <c r="S66">
        <f t="shared" si="8"/>
        <v>0</v>
      </c>
      <c r="T66">
        <f t="shared" si="9"/>
        <v>0</v>
      </c>
      <c r="U66">
        <f t="shared" si="1"/>
        <v>1</v>
      </c>
      <c r="V66">
        <v>0</v>
      </c>
      <c r="W66">
        <f t="shared" si="2"/>
        <v>0</v>
      </c>
      <c r="X66">
        <f t="shared" si="3"/>
        <v>0</v>
      </c>
      <c r="Y66">
        <f t="shared" si="4"/>
        <v>0</v>
      </c>
      <c r="Z66">
        <f t="shared" si="5"/>
        <v>0</v>
      </c>
      <c r="AA66">
        <f t="shared" si="10"/>
        <v>0</v>
      </c>
      <c r="AB66">
        <f t="shared" si="11"/>
        <v>0</v>
      </c>
      <c r="AC66">
        <f t="shared" si="12"/>
        <v>0</v>
      </c>
      <c r="AD66">
        <f t="shared" si="6"/>
        <v>0</v>
      </c>
      <c r="AE66">
        <f t="shared" si="7"/>
        <v>0</v>
      </c>
      <c r="AF66">
        <f t="shared" si="0"/>
        <v>10000000</v>
      </c>
    </row>
    <row r="67" spans="1:32" x14ac:dyDescent="0.35">
      <c r="A67" s="1">
        <v>0</v>
      </c>
      <c r="B67" t="s">
        <v>171</v>
      </c>
      <c r="C67" t="s">
        <v>9</v>
      </c>
      <c r="D67" t="s">
        <v>39</v>
      </c>
      <c r="E67" t="s">
        <v>33</v>
      </c>
      <c r="F67" t="s">
        <v>46</v>
      </c>
      <c r="G67">
        <v>30</v>
      </c>
      <c r="H67" t="s">
        <v>117</v>
      </c>
      <c r="I67">
        <v>1.6380876302719116</v>
      </c>
      <c r="J67">
        <v>0.79611372947692871</v>
      </c>
      <c r="K67">
        <v>3</v>
      </c>
      <c r="L67">
        <v>36000000</v>
      </c>
      <c r="M67">
        <v>12000000</v>
      </c>
      <c r="O67" t="s">
        <v>66</v>
      </c>
      <c r="P67">
        <v>4</v>
      </c>
      <c r="Q67">
        <v>72000000</v>
      </c>
      <c r="R67">
        <v>15841901</v>
      </c>
      <c r="S67">
        <f t="shared" si="8"/>
        <v>0</v>
      </c>
      <c r="T67">
        <f t="shared" si="9"/>
        <v>0</v>
      </c>
      <c r="U67">
        <f t="shared" si="1"/>
        <v>1</v>
      </c>
      <c r="V67">
        <v>0</v>
      </c>
      <c r="W67">
        <f t="shared" si="2"/>
        <v>0</v>
      </c>
      <c r="X67">
        <f t="shared" si="3"/>
        <v>0</v>
      </c>
      <c r="Y67">
        <f t="shared" si="4"/>
        <v>0</v>
      </c>
      <c r="Z67">
        <f t="shared" si="5"/>
        <v>0</v>
      </c>
      <c r="AA67">
        <f t="shared" si="10"/>
        <v>0</v>
      </c>
      <c r="AB67">
        <f t="shared" si="11"/>
        <v>0</v>
      </c>
      <c r="AC67">
        <f t="shared" si="12"/>
        <v>0</v>
      </c>
      <c r="AD67">
        <f t="shared" si="6"/>
        <v>0</v>
      </c>
      <c r="AE67">
        <f t="shared" si="7"/>
        <v>0</v>
      </c>
      <c r="AF67">
        <f t="shared" si="0"/>
        <v>12000000</v>
      </c>
    </row>
    <row r="68" spans="1:32" x14ac:dyDescent="0.35">
      <c r="A68" s="1">
        <v>0</v>
      </c>
      <c r="B68" t="s">
        <v>140</v>
      </c>
      <c r="C68" t="s">
        <v>10</v>
      </c>
      <c r="D68" t="s">
        <v>39</v>
      </c>
      <c r="E68" t="s">
        <v>39</v>
      </c>
      <c r="F68" t="s">
        <v>141</v>
      </c>
      <c r="G68">
        <v>33</v>
      </c>
      <c r="H68" t="s">
        <v>142</v>
      </c>
      <c r="I68">
        <v>1.9769130945205688</v>
      </c>
      <c r="J68">
        <v>0.77775895595550537</v>
      </c>
      <c r="K68">
        <v>2</v>
      </c>
      <c r="L68">
        <v>18000000</v>
      </c>
      <c r="M68">
        <v>9000000</v>
      </c>
      <c r="O68" t="s">
        <v>141</v>
      </c>
      <c r="P68">
        <v>2</v>
      </c>
      <c r="Q68">
        <v>14000000</v>
      </c>
      <c r="R68">
        <v>7000000</v>
      </c>
      <c r="S68">
        <f t="shared" si="8"/>
        <v>0</v>
      </c>
      <c r="T68">
        <f t="shared" si="9"/>
        <v>1</v>
      </c>
      <c r="U68">
        <f t="shared" si="1"/>
        <v>0</v>
      </c>
      <c r="V68">
        <v>0</v>
      </c>
      <c r="W68">
        <f t="shared" si="2"/>
        <v>0</v>
      </c>
      <c r="X68">
        <f t="shared" si="3"/>
        <v>0</v>
      </c>
      <c r="Y68">
        <f t="shared" si="4"/>
        <v>0</v>
      </c>
      <c r="Z68">
        <f t="shared" si="5"/>
        <v>0</v>
      </c>
      <c r="AA68">
        <f t="shared" si="10"/>
        <v>0</v>
      </c>
      <c r="AB68">
        <f t="shared" si="11"/>
        <v>0</v>
      </c>
      <c r="AC68">
        <f t="shared" si="12"/>
        <v>0</v>
      </c>
      <c r="AD68">
        <f t="shared" si="6"/>
        <v>0</v>
      </c>
      <c r="AE68">
        <f t="shared" si="7"/>
        <v>0</v>
      </c>
      <c r="AF68">
        <f t="shared" si="0"/>
        <v>9000000</v>
      </c>
    </row>
    <row r="69" spans="1:32" x14ac:dyDescent="0.35">
      <c r="A69" s="1">
        <v>0</v>
      </c>
      <c r="B69" t="s">
        <v>356</v>
      </c>
      <c r="C69" t="s">
        <v>10</v>
      </c>
      <c r="D69" t="s">
        <v>33</v>
      </c>
      <c r="E69" t="s">
        <v>39</v>
      </c>
      <c r="F69" t="s">
        <v>254</v>
      </c>
      <c r="G69">
        <v>30</v>
      </c>
      <c r="H69" t="s">
        <v>357</v>
      </c>
      <c r="I69">
        <v>0.53538531064987183</v>
      </c>
      <c r="J69">
        <v>0.7732168436050415</v>
      </c>
      <c r="L69">
        <v>0</v>
      </c>
      <c r="O69" t="s">
        <v>358</v>
      </c>
      <c r="P69">
        <v>1</v>
      </c>
      <c r="Q69">
        <v>3500000</v>
      </c>
      <c r="R69">
        <v>3500000</v>
      </c>
      <c r="S69">
        <f t="shared" si="8"/>
        <v>0</v>
      </c>
      <c r="T69">
        <f t="shared" si="9"/>
        <v>1</v>
      </c>
      <c r="U69">
        <f t="shared" si="1"/>
        <v>0</v>
      </c>
      <c r="V69">
        <v>0</v>
      </c>
      <c r="W69">
        <f t="shared" si="2"/>
        <v>0</v>
      </c>
      <c r="X69">
        <f t="shared" si="3"/>
        <v>0</v>
      </c>
      <c r="Y69">
        <f t="shared" si="4"/>
        <v>0</v>
      </c>
      <c r="Z69">
        <f t="shared" si="5"/>
        <v>0</v>
      </c>
      <c r="AA69">
        <f t="shared" si="10"/>
        <v>0</v>
      </c>
      <c r="AB69">
        <f t="shared" si="11"/>
        <v>0</v>
      </c>
      <c r="AC69">
        <f t="shared" si="12"/>
        <v>0</v>
      </c>
      <c r="AD69">
        <f t="shared" si="6"/>
        <v>0</v>
      </c>
      <c r="AE69">
        <f t="shared" si="7"/>
        <v>0</v>
      </c>
      <c r="AF69">
        <f t="shared" si="0"/>
        <v>3500000</v>
      </c>
    </row>
    <row r="70" spans="1:32" x14ac:dyDescent="0.35">
      <c r="A70" s="1">
        <v>0</v>
      </c>
      <c r="B70" t="s">
        <v>237</v>
      </c>
      <c r="C70" t="s">
        <v>9</v>
      </c>
      <c r="D70" t="s">
        <v>33</v>
      </c>
      <c r="E70" t="s">
        <v>33</v>
      </c>
      <c r="F70" t="s">
        <v>125</v>
      </c>
      <c r="G70">
        <v>37</v>
      </c>
      <c r="H70" t="s">
        <v>238</v>
      </c>
      <c r="I70">
        <v>1.0912429094314575</v>
      </c>
      <c r="J70">
        <v>0.76992553472518921</v>
      </c>
      <c r="K70">
        <v>1</v>
      </c>
      <c r="L70">
        <v>10000000</v>
      </c>
      <c r="M70">
        <v>10000000</v>
      </c>
      <c r="O70" t="s">
        <v>53</v>
      </c>
      <c r="P70">
        <v>1</v>
      </c>
      <c r="Q70">
        <v>10750000</v>
      </c>
      <c r="R70">
        <v>10750000</v>
      </c>
      <c r="S70">
        <f t="shared" si="8"/>
        <v>0</v>
      </c>
      <c r="T70">
        <f t="shared" si="9"/>
        <v>0</v>
      </c>
      <c r="U70">
        <f t="shared" si="1"/>
        <v>1</v>
      </c>
      <c r="V70">
        <v>0</v>
      </c>
      <c r="W70">
        <f t="shared" si="2"/>
        <v>0</v>
      </c>
      <c r="X70">
        <f t="shared" si="3"/>
        <v>0</v>
      </c>
      <c r="Y70">
        <f t="shared" si="4"/>
        <v>0</v>
      </c>
      <c r="Z70">
        <f t="shared" si="5"/>
        <v>0</v>
      </c>
      <c r="AA70">
        <f t="shared" si="10"/>
        <v>0</v>
      </c>
      <c r="AB70">
        <f t="shared" si="11"/>
        <v>0</v>
      </c>
      <c r="AC70">
        <f t="shared" si="12"/>
        <v>0</v>
      </c>
      <c r="AD70">
        <f t="shared" si="6"/>
        <v>0</v>
      </c>
      <c r="AE70">
        <f t="shared" si="7"/>
        <v>0</v>
      </c>
      <c r="AF70">
        <f t="shared" si="0"/>
        <v>10000000</v>
      </c>
    </row>
    <row r="71" spans="1:32" x14ac:dyDescent="0.35">
      <c r="A71" s="1">
        <v>0</v>
      </c>
      <c r="B71" t="s">
        <v>421</v>
      </c>
      <c r="C71" t="s">
        <v>422</v>
      </c>
      <c r="D71" t="s">
        <v>39</v>
      </c>
      <c r="E71" t="s">
        <v>39</v>
      </c>
      <c r="F71" t="s">
        <v>40</v>
      </c>
      <c r="G71">
        <v>32</v>
      </c>
      <c r="H71" t="s">
        <v>423</v>
      </c>
      <c r="I71">
        <v>0.37407970428466797</v>
      </c>
      <c r="J71">
        <v>0.70520538091659546</v>
      </c>
      <c r="L71">
        <v>0</v>
      </c>
      <c r="O71" t="s">
        <v>56</v>
      </c>
      <c r="P71">
        <v>1</v>
      </c>
      <c r="Q71">
        <v>8500000</v>
      </c>
      <c r="R71">
        <v>8500000</v>
      </c>
      <c r="S71">
        <f t="shared" si="8"/>
        <v>0</v>
      </c>
      <c r="T71">
        <f t="shared" si="9"/>
        <v>0</v>
      </c>
      <c r="U71">
        <f t="shared" si="1"/>
        <v>0</v>
      </c>
      <c r="V71">
        <v>1</v>
      </c>
      <c r="W71">
        <f t="shared" si="2"/>
        <v>0</v>
      </c>
      <c r="X71">
        <f t="shared" si="3"/>
        <v>0</v>
      </c>
      <c r="Y71">
        <f t="shared" si="4"/>
        <v>0</v>
      </c>
      <c r="Z71">
        <f t="shared" si="5"/>
        <v>0</v>
      </c>
      <c r="AA71">
        <f t="shared" si="10"/>
        <v>0</v>
      </c>
      <c r="AB71">
        <f t="shared" si="11"/>
        <v>0</v>
      </c>
      <c r="AC71">
        <f t="shared" si="12"/>
        <v>0</v>
      </c>
      <c r="AD71">
        <f t="shared" si="6"/>
        <v>0</v>
      </c>
      <c r="AE71">
        <f t="shared" si="7"/>
        <v>1</v>
      </c>
      <c r="AF71">
        <f t="shared" si="0"/>
        <v>8500000</v>
      </c>
    </row>
    <row r="72" spans="1:32" x14ac:dyDescent="0.35">
      <c r="A72" s="1">
        <v>0</v>
      </c>
      <c r="B72" t="s">
        <v>477</v>
      </c>
      <c r="C72" t="s">
        <v>478</v>
      </c>
      <c r="D72" t="s">
        <v>39</v>
      </c>
      <c r="E72" t="s">
        <v>39</v>
      </c>
      <c r="F72" t="s">
        <v>70</v>
      </c>
      <c r="G72">
        <v>29</v>
      </c>
      <c r="H72" t="s">
        <v>479</v>
      </c>
      <c r="I72">
        <v>0.21797968447208405</v>
      </c>
      <c r="J72">
        <v>0.69562423229217529</v>
      </c>
      <c r="L72">
        <v>0</v>
      </c>
      <c r="O72" t="s">
        <v>141</v>
      </c>
      <c r="P72">
        <v>1</v>
      </c>
      <c r="Q72">
        <v>2000000</v>
      </c>
      <c r="R72">
        <v>2000000</v>
      </c>
      <c r="S72">
        <f t="shared" si="8"/>
        <v>0</v>
      </c>
      <c r="T72">
        <f t="shared" si="9"/>
        <v>0</v>
      </c>
      <c r="U72">
        <f t="shared" si="1"/>
        <v>0</v>
      </c>
      <c r="V72">
        <v>0</v>
      </c>
      <c r="W72">
        <f t="shared" si="2"/>
        <v>0</v>
      </c>
      <c r="X72">
        <f t="shared" si="3"/>
        <v>1</v>
      </c>
      <c r="Y72">
        <f t="shared" si="4"/>
        <v>1</v>
      </c>
      <c r="Z72">
        <f t="shared" si="5"/>
        <v>1</v>
      </c>
      <c r="AA72">
        <f t="shared" si="10"/>
        <v>0</v>
      </c>
      <c r="AB72">
        <f t="shared" si="11"/>
        <v>0</v>
      </c>
      <c r="AC72">
        <f t="shared" si="12"/>
        <v>1</v>
      </c>
      <c r="AD72">
        <f t="shared" si="6"/>
        <v>0</v>
      </c>
      <c r="AE72">
        <f t="shared" si="7"/>
        <v>0</v>
      </c>
      <c r="AF72">
        <f t="shared" si="0"/>
        <v>2000000</v>
      </c>
    </row>
    <row r="73" spans="1:32" x14ac:dyDescent="0.35">
      <c r="A73" s="1">
        <v>0</v>
      </c>
      <c r="B73" t="s">
        <v>234</v>
      </c>
      <c r="C73" t="s">
        <v>9</v>
      </c>
      <c r="D73" t="s">
        <v>33</v>
      </c>
      <c r="E73" t="s">
        <v>33</v>
      </c>
      <c r="F73" t="s">
        <v>48</v>
      </c>
      <c r="G73">
        <v>31</v>
      </c>
      <c r="H73" t="s">
        <v>235</v>
      </c>
      <c r="I73">
        <v>1.0976227521896362</v>
      </c>
      <c r="J73">
        <v>0.68837302923202515</v>
      </c>
      <c r="L73">
        <v>0</v>
      </c>
      <c r="O73" t="s">
        <v>48</v>
      </c>
      <c r="P73">
        <v>2</v>
      </c>
      <c r="Q73">
        <v>13000000</v>
      </c>
      <c r="R73">
        <v>6500000</v>
      </c>
      <c r="S73">
        <f t="shared" si="8"/>
        <v>0</v>
      </c>
      <c r="T73">
        <f t="shared" si="9"/>
        <v>0</v>
      </c>
      <c r="U73">
        <f t="shared" si="1"/>
        <v>1</v>
      </c>
      <c r="V73">
        <v>0</v>
      </c>
      <c r="W73">
        <f t="shared" si="2"/>
        <v>0</v>
      </c>
      <c r="X73">
        <f t="shared" si="3"/>
        <v>0</v>
      </c>
      <c r="Y73">
        <f t="shared" si="4"/>
        <v>0</v>
      </c>
      <c r="Z73">
        <f t="shared" si="5"/>
        <v>0</v>
      </c>
      <c r="AA73">
        <f t="shared" si="10"/>
        <v>0</v>
      </c>
      <c r="AB73">
        <f t="shared" si="11"/>
        <v>0</v>
      </c>
      <c r="AC73">
        <f t="shared" si="12"/>
        <v>0</v>
      </c>
      <c r="AD73">
        <f t="shared" si="6"/>
        <v>0</v>
      </c>
      <c r="AE73">
        <f t="shared" si="7"/>
        <v>0</v>
      </c>
      <c r="AF73">
        <f t="shared" si="0"/>
        <v>6500000</v>
      </c>
    </row>
    <row r="74" spans="1:32" x14ac:dyDescent="0.35">
      <c r="A74" s="1">
        <v>0</v>
      </c>
      <c r="B74" t="s">
        <v>260</v>
      </c>
      <c r="C74" t="s">
        <v>9</v>
      </c>
      <c r="D74" t="s">
        <v>39</v>
      </c>
      <c r="E74" t="s">
        <v>39</v>
      </c>
      <c r="F74" t="s">
        <v>53</v>
      </c>
      <c r="G74">
        <v>39</v>
      </c>
      <c r="H74" t="s">
        <v>261</v>
      </c>
      <c r="I74">
        <v>0.89683073759078979</v>
      </c>
      <c r="J74">
        <v>0.6744195818901062</v>
      </c>
      <c r="K74">
        <v>1</v>
      </c>
      <c r="L74">
        <v>7000000</v>
      </c>
      <c r="M74">
        <v>7000000</v>
      </c>
      <c r="O74" t="s">
        <v>97</v>
      </c>
      <c r="P74">
        <v>1</v>
      </c>
      <c r="Q74">
        <v>5500000</v>
      </c>
      <c r="R74">
        <v>5500000</v>
      </c>
      <c r="S74">
        <f t="shared" si="8"/>
        <v>0</v>
      </c>
      <c r="T74">
        <f t="shared" si="9"/>
        <v>0</v>
      </c>
      <c r="U74">
        <f t="shared" si="1"/>
        <v>1</v>
      </c>
      <c r="V74">
        <v>0</v>
      </c>
      <c r="W74">
        <f t="shared" si="2"/>
        <v>0</v>
      </c>
      <c r="X74">
        <f t="shared" si="3"/>
        <v>0</v>
      </c>
      <c r="Y74">
        <f t="shared" si="4"/>
        <v>0</v>
      </c>
      <c r="Z74">
        <f t="shared" si="5"/>
        <v>0</v>
      </c>
      <c r="AA74">
        <f t="shared" si="10"/>
        <v>0</v>
      </c>
      <c r="AB74">
        <f t="shared" si="11"/>
        <v>0</v>
      </c>
      <c r="AC74">
        <f t="shared" si="12"/>
        <v>0</v>
      </c>
      <c r="AD74">
        <f t="shared" si="6"/>
        <v>0</v>
      </c>
      <c r="AE74">
        <f t="shared" si="7"/>
        <v>0</v>
      </c>
      <c r="AF74">
        <f t="shared" si="0"/>
        <v>7000000</v>
      </c>
    </row>
    <row r="75" spans="1:32" x14ac:dyDescent="0.35">
      <c r="A75" s="1">
        <v>0</v>
      </c>
      <c r="B75" t="s">
        <v>168</v>
      </c>
      <c r="C75" t="s">
        <v>10</v>
      </c>
      <c r="D75" t="s">
        <v>33</v>
      </c>
      <c r="E75" t="s">
        <v>33</v>
      </c>
      <c r="F75" t="s">
        <v>141</v>
      </c>
      <c r="G75">
        <v>35</v>
      </c>
      <c r="H75" t="s">
        <v>169</v>
      </c>
      <c r="I75">
        <v>1.7376071214675903</v>
      </c>
      <c r="J75">
        <v>0.66931021213531494</v>
      </c>
      <c r="L75">
        <v>0</v>
      </c>
      <c r="O75" t="s">
        <v>97</v>
      </c>
      <c r="P75">
        <v>1</v>
      </c>
      <c r="Q75">
        <v>1100000</v>
      </c>
      <c r="R75">
        <v>1100000</v>
      </c>
      <c r="S75">
        <f t="shared" si="8"/>
        <v>0</v>
      </c>
      <c r="T75">
        <f t="shared" si="9"/>
        <v>1</v>
      </c>
      <c r="U75">
        <f t="shared" si="1"/>
        <v>0</v>
      </c>
      <c r="V75">
        <v>0</v>
      </c>
      <c r="W75">
        <f t="shared" si="2"/>
        <v>0</v>
      </c>
      <c r="X75">
        <f t="shared" si="3"/>
        <v>0</v>
      </c>
      <c r="Y75">
        <f t="shared" si="4"/>
        <v>0</v>
      </c>
      <c r="Z75">
        <f t="shared" si="5"/>
        <v>0</v>
      </c>
      <c r="AA75">
        <f t="shared" si="10"/>
        <v>0</v>
      </c>
      <c r="AB75">
        <f t="shared" si="11"/>
        <v>0</v>
      </c>
      <c r="AC75">
        <f t="shared" si="12"/>
        <v>0</v>
      </c>
      <c r="AD75">
        <f t="shared" si="6"/>
        <v>0</v>
      </c>
      <c r="AE75">
        <f t="shared" si="7"/>
        <v>0</v>
      </c>
      <c r="AF75">
        <f t="shared" si="0"/>
        <v>1100000</v>
      </c>
    </row>
    <row r="76" spans="1:32" x14ac:dyDescent="0.35">
      <c r="A76" s="1">
        <v>0</v>
      </c>
      <c r="B76" t="s">
        <v>545</v>
      </c>
      <c r="C76" t="s">
        <v>10</v>
      </c>
      <c r="D76" t="s">
        <v>39</v>
      </c>
      <c r="E76" t="s">
        <v>39</v>
      </c>
      <c r="F76" t="s">
        <v>62</v>
      </c>
      <c r="G76">
        <v>29</v>
      </c>
      <c r="H76" t="s">
        <v>300</v>
      </c>
      <c r="I76">
        <v>9.968288242816925E-2</v>
      </c>
      <c r="J76">
        <v>0.66780132055282593</v>
      </c>
      <c r="L76">
        <v>0</v>
      </c>
      <c r="O76" t="s">
        <v>36</v>
      </c>
      <c r="P76">
        <v>1</v>
      </c>
      <c r="Q76">
        <v>4250000</v>
      </c>
      <c r="R76">
        <v>4250000</v>
      </c>
      <c r="S76">
        <f t="shared" si="8"/>
        <v>0</v>
      </c>
      <c r="T76">
        <f t="shared" si="9"/>
        <v>1</v>
      </c>
      <c r="U76">
        <f t="shared" si="1"/>
        <v>0</v>
      </c>
      <c r="V76">
        <v>0</v>
      </c>
      <c r="W76">
        <f t="shared" si="2"/>
        <v>0</v>
      </c>
      <c r="X76">
        <f t="shared" si="3"/>
        <v>0</v>
      </c>
      <c r="Y76">
        <f t="shared" si="4"/>
        <v>0</v>
      </c>
      <c r="Z76">
        <f t="shared" si="5"/>
        <v>0</v>
      </c>
      <c r="AA76">
        <f t="shared" si="10"/>
        <v>0</v>
      </c>
      <c r="AB76">
        <f t="shared" si="11"/>
        <v>0</v>
      </c>
      <c r="AC76">
        <f t="shared" si="12"/>
        <v>0</v>
      </c>
      <c r="AD76">
        <f t="shared" si="6"/>
        <v>0</v>
      </c>
      <c r="AE76">
        <f t="shared" si="7"/>
        <v>0</v>
      </c>
      <c r="AF76">
        <f t="shared" si="0"/>
        <v>4250000</v>
      </c>
    </row>
    <row r="77" spans="1:32" x14ac:dyDescent="0.35">
      <c r="A77" s="1">
        <v>0</v>
      </c>
      <c r="B77" t="s">
        <v>247</v>
      </c>
      <c r="C77" t="s">
        <v>9</v>
      </c>
      <c r="D77" t="s">
        <v>39</v>
      </c>
      <c r="E77" t="s">
        <v>39</v>
      </c>
      <c r="F77" t="s">
        <v>66</v>
      </c>
      <c r="G77">
        <v>37</v>
      </c>
      <c r="H77" t="s">
        <v>248</v>
      </c>
      <c r="I77">
        <v>1.0153526067733765</v>
      </c>
      <c r="J77">
        <v>0.61965197324752808</v>
      </c>
      <c r="K77">
        <v>1</v>
      </c>
      <c r="L77">
        <v>8000000</v>
      </c>
      <c r="M77">
        <v>8000000</v>
      </c>
      <c r="O77" t="s">
        <v>66</v>
      </c>
      <c r="P77">
        <v>2</v>
      </c>
      <c r="Q77">
        <v>22000000</v>
      </c>
      <c r="R77">
        <v>11000000</v>
      </c>
      <c r="S77">
        <f t="shared" si="8"/>
        <v>0</v>
      </c>
      <c r="T77">
        <f t="shared" si="9"/>
        <v>0</v>
      </c>
      <c r="U77">
        <f t="shared" si="1"/>
        <v>1</v>
      </c>
      <c r="V77">
        <v>0</v>
      </c>
      <c r="W77">
        <f t="shared" si="2"/>
        <v>0</v>
      </c>
      <c r="X77">
        <f t="shared" si="3"/>
        <v>0</v>
      </c>
      <c r="Y77">
        <f t="shared" si="4"/>
        <v>0</v>
      </c>
      <c r="Z77">
        <f t="shared" si="5"/>
        <v>0</v>
      </c>
      <c r="AA77">
        <f t="shared" si="10"/>
        <v>0</v>
      </c>
      <c r="AB77">
        <f t="shared" si="11"/>
        <v>0</v>
      </c>
      <c r="AC77">
        <f t="shared" si="12"/>
        <v>0</v>
      </c>
      <c r="AD77">
        <f t="shared" si="6"/>
        <v>0</v>
      </c>
      <c r="AE77">
        <f t="shared" si="7"/>
        <v>0</v>
      </c>
      <c r="AF77">
        <f t="shared" si="0"/>
        <v>8000000</v>
      </c>
    </row>
    <row r="78" spans="1:32" x14ac:dyDescent="0.35">
      <c r="A78" s="1">
        <v>0</v>
      </c>
      <c r="B78" t="s">
        <v>415</v>
      </c>
      <c r="C78" t="s">
        <v>9</v>
      </c>
      <c r="D78" t="s">
        <v>39</v>
      </c>
      <c r="E78" t="s">
        <v>39</v>
      </c>
      <c r="F78" t="s">
        <v>149</v>
      </c>
      <c r="G78">
        <v>34</v>
      </c>
      <c r="H78" t="s">
        <v>416</v>
      </c>
      <c r="I78">
        <v>0.40387779474258423</v>
      </c>
      <c r="J78">
        <v>0.58305740356445313</v>
      </c>
      <c r="K78">
        <v>1</v>
      </c>
      <c r="L78">
        <v>5000000</v>
      </c>
      <c r="M78">
        <v>5000000</v>
      </c>
      <c r="O78" t="s">
        <v>86</v>
      </c>
      <c r="P78">
        <v>2</v>
      </c>
      <c r="Q78">
        <v>15000000</v>
      </c>
      <c r="R78">
        <v>7500000</v>
      </c>
      <c r="S78">
        <f t="shared" si="8"/>
        <v>0</v>
      </c>
      <c r="T78">
        <f t="shared" si="9"/>
        <v>0</v>
      </c>
      <c r="U78">
        <f t="shared" si="1"/>
        <v>1</v>
      </c>
      <c r="V78">
        <v>0</v>
      </c>
      <c r="W78">
        <f t="shared" si="2"/>
        <v>0</v>
      </c>
      <c r="X78">
        <f t="shared" si="3"/>
        <v>0</v>
      </c>
      <c r="Y78">
        <f t="shared" si="4"/>
        <v>0</v>
      </c>
      <c r="Z78">
        <f t="shared" si="5"/>
        <v>0</v>
      </c>
      <c r="AA78">
        <f t="shared" si="10"/>
        <v>0</v>
      </c>
      <c r="AB78">
        <f t="shared" si="11"/>
        <v>0</v>
      </c>
      <c r="AC78">
        <f t="shared" si="12"/>
        <v>0</v>
      </c>
      <c r="AD78">
        <f t="shared" si="6"/>
        <v>0</v>
      </c>
      <c r="AE78">
        <f t="shared" si="7"/>
        <v>0</v>
      </c>
      <c r="AF78">
        <f t="shared" si="0"/>
        <v>5000000</v>
      </c>
    </row>
    <row r="79" spans="1:32" x14ac:dyDescent="0.35">
      <c r="A79" s="1">
        <v>0</v>
      </c>
      <c r="B79" t="s">
        <v>333</v>
      </c>
      <c r="C79" t="s">
        <v>334</v>
      </c>
      <c r="D79" t="s">
        <v>39</v>
      </c>
      <c r="E79" t="s">
        <v>39</v>
      </c>
      <c r="F79" t="s">
        <v>66</v>
      </c>
      <c r="G79">
        <v>33</v>
      </c>
      <c r="H79" t="s">
        <v>335</v>
      </c>
      <c r="I79">
        <v>0.61565655469894409</v>
      </c>
      <c r="J79">
        <v>0.57740688323974609</v>
      </c>
      <c r="K79">
        <v>1</v>
      </c>
      <c r="L79">
        <v>5000000</v>
      </c>
      <c r="M79">
        <v>5000000</v>
      </c>
      <c r="O79" t="s">
        <v>66</v>
      </c>
      <c r="P79">
        <v>1</v>
      </c>
      <c r="Q79">
        <v>6500000</v>
      </c>
      <c r="R79">
        <v>6500000</v>
      </c>
      <c r="S79">
        <f t="shared" si="8"/>
        <v>0</v>
      </c>
      <c r="T79">
        <f t="shared" si="9"/>
        <v>0</v>
      </c>
      <c r="U79">
        <f t="shared" si="1"/>
        <v>0</v>
      </c>
      <c r="V79">
        <v>0</v>
      </c>
      <c r="W79">
        <f t="shared" si="2"/>
        <v>0</v>
      </c>
      <c r="X79">
        <f t="shared" si="3"/>
        <v>1</v>
      </c>
      <c r="Y79">
        <f t="shared" si="4"/>
        <v>1</v>
      </c>
      <c r="Z79">
        <f t="shared" si="5"/>
        <v>1</v>
      </c>
      <c r="AA79">
        <f t="shared" si="10"/>
        <v>1</v>
      </c>
      <c r="AB79">
        <f t="shared" si="11"/>
        <v>1</v>
      </c>
      <c r="AC79">
        <f t="shared" si="12"/>
        <v>1</v>
      </c>
      <c r="AD79">
        <f t="shared" si="6"/>
        <v>1</v>
      </c>
      <c r="AE79">
        <f t="shared" si="7"/>
        <v>0</v>
      </c>
      <c r="AF79">
        <f t="shared" si="0"/>
        <v>5000000</v>
      </c>
    </row>
    <row r="80" spans="1:32" x14ac:dyDescent="0.35">
      <c r="A80" s="1">
        <v>0</v>
      </c>
      <c r="B80" t="s">
        <v>603</v>
      </c>
      <c r="C80" t="s">
        <v>9</v>
      </c>
      <c r="D80" t="s">
        <v>33</v>
      </c>
      <c r="E80" t="s">
        <v>33</v>
      </c>
      <c r="F80" t="s">
        <v>48</v>
      </c>
      <c r="G80">
        <v>31</v>
      </c>
      <c r="H80" t="s">
        <v>604</v>
      </c>
      <c r="I80">
        <v>-4.955713078379631E-2</v>
      </c>
      <c r="J80">
        <v>0.54699242115020752</v>
      </c>
      <c r="K80">
        <v>1</v>
      </c>
      <c r="L80">
        <v>5000000</v>
      </c>
      <c r="M80">
        <v>5000000</v>
      </c>
      <c r="O80" t="s">
        <v>36</v>
      </c>
      <c r="P80">
        <v>2</v>
      </c>
      <c r="Q80">
        <v>22000000</v>
      </c>
      <c r="R80">
        <v>11000000</v>
      </c>
      <c r="S80">
        <f t="shared" si="8"/>
        <v>0</v>
      </c>
      <c r="T80">
        <f t="shared" si="9"/>
        <v>0</v>
      </c>
      <c r="U80">
        <f t="shared" si="1"/>
        <v>1</v>
      </c>
      <c r="V80">
        <v>0</v>
      </c>
      <c r="W80">
        <f t="shared" si="2"/>
        <v>0</v>
      </c>
      <c r="X80">
        <f t="shared" si="3"/>
        <v>0</v>
      </c>
      <c r="Y80">
        <f t="shared" si="4"/>
        <v>0</v>
      </c>
      <c r="Z80">
        <f t="shared" si="5"/>
        <v>0</v>
      </c>
      <c r="AA80">
        <f t="shared" si="10"/>
        <v>0</v>
      </c>
      <c r="AB80">
        <f t="shared" si="11"/>
        <v>0</v>
      </c>
      <c r="AC80">
        <f t="shared" si="12"/>
        <v>0</v>
      </c>
      <c r="AD80">
        <f t="shared" si="6"/>
        <v>0</v>
      </c>
      <c r="AE80">
        <f t="shared" si="7"/>
        <v>0</v>
      </c>
      <c r="AF80">
        <f t="shared" si="0"/>
        <v>5000000</v>
      </c>
    </row>
    <row r="81" spans="1:32" x14ac:dyDescent="0.35">
      <c r="A81" s="1">
        <v>0</v>
      </c>
      <c r="B81" t="s">
        <v>533</v>
      </c>
      <c r="C81" t="s">
        <v>9</v>
      </c>
      <c r="D81" t="s">
        <v>33</v>
      </c>
      <c r="E81" t="s">
        <v>33</v>
      </c>
      <c r="F81" t="s">
        <v>70</v>
      </c>
      <c r="G81">
        <v>37</v>
      </c>
      <c r="H81" t="s">
        <v>534</v>
      </c>
      <c r="I81">
        <v>0.11949363350868225</v>
      </c>
      <c r="J81">
        <v>0.5100407600402832</v>
      </c>
      <c r="L81">
        <v>0</v>
      </c>
      <c r="O81" t="s">
        <v>53</v>
      </c>
      <c r="P81">
        <v>1</v>
      </c>
      <c r="Q81">
        <v>2250000</v>
      </c>
      <c r="R81">
        <v>2250000</v>
      </c>
      <c r="S81">
        <f t="shared" si="8"/>
        <v>0</v>
      </c>
      <c r="T81">
        <f t="shared" si="9"/>
        <v>0</v>
      </c>
      <c r="U81">
        <f t="shared" si="1"/>
        <v>1</v>
      </c>
      <c r="V81">
        <v>0</v>
      </c>
      <c r="W81">
        <f t="shared" si="2"/>
        <v>0</v>
      </c>
      <c r="X81">
        <f t="shared" si="3"/>
        <v>0</v>
      </c>
      <c r="Y81">
        <f t="shared" si="4"/>
        <v>0</v>
      </c>
      <c r="Z81">
        <f t="shared" si="5"/>
        <v>0</v>
      </c>
      <c r="AA81">
        <f t="shared" si="10"/>
        <v>0</v>
      </c>
      <c r="AB81">
        <f t="shared" si="11"/>
        <v>0</v>
      </c>
      <c r="AC81">
        <f t="shared" si="12"/>
        <v>0</v>
      </c>
      <c r="AD81">
        <f t="shared" si="6"/>
        <v>0</v>
      </c>
      <c r="AE81">
        <f t="shared" si="7"/>
        <v>0</v>
      </c>
      <c r="AF81">
        <f t="shared" ref="AF81:AF144" si="13">IF(M81="", R81, M81)</f>
        <v>2250000</v>
      </c>
    </row>
    <row r="82" spans="1:32" x14ac:dyDescent="0.35">
      <c r="A82" s="1">
        <v>0</v>
      </c>
      <c r="B82" t="s">
        <v>156</v>
      </c>
      <c r="C82" t="s">
        <v>9</v>
      </c>
      <c r="D82" t="s">
        <v>39</v>
      </c>
      <c r="E82" t="s">
        <v>39</v>
      </c>
      <c r="F82" t="s">
        <v>97</v>
      </c>
      <c r="G82">
        <v>40</v>
      </c>
      <c r="H82" t="s">
        <v>157</v>
      </c>
      <c r="I82">
        <v>1.8453360795974731</v>
      </c>
      <c r="J82">
        <v>0.5094527006149292</v>
      </c>
      <c r="K82">
        <v>1</v>
      </c>
      <c r="L82">
        <v>10000000</v>
      </c>
      <c r="M82">
        <v>10000000</v>
      </c>
      <c r="O82" t="s">
        <v>134</v>
      </c>
      <c r="P82">
        <v>1</v>
      </c>
      <c r="Q82">
        <v>6000000</v>
      </c>
      <c r="R82">
        <v>6000000</v>
      </c>
      <c r="S82">
        <f t="shared" si="8"/>
        <v>0</v>
      </c>
      <c r="T82">
        <f t="shared" si="9"/>
        <v>0</v>
      </c>
      <c r="U82">
        <f t="shared" si="1"/>
        <v>1</v>
      </c>
      <c r="V82">
        <v>0</v>
      </c>
      <c r="W82">
        <f t="shared" si="2"/>
        <v>0</v>
      </c>
      <c r="X82">
        <f t="shared" si="3"/>
        <v>0</v>
      </c>
      <c r="Y82">
        <f t="shared" si="4"/>
        <v>0</v>
      </c>
      <c r="Z82">
        <f t="shared" si="5"/>
        <v>0</v>
      </c>
      <c r="AA82">
        <f t="shared" si="10"/>
        <v>0</v>
      </c>
      <c r="AB82">
        <f t="shared" si="11"/>
        <v>0</v>
      </c>
      <c r="AC82">
        <f t="shared" si="12"/>
        <v>0</v>
      </c>
      <c r="AD82">
        <f t="shared" si="6"/>
        <v>0</v>
      </c>
      <c r="AE82">
        <f t="shared" si="7"/>
        <v>0</v>
      </c>
      <c r="AF82">
        <f t="shared" si="13"/>
        <v>10000000</v>
      </c>
    </row>
    <row r="83" spans="1:32" x14ac:dyDescent="0.35">
      <c r="A83" s="1">
        <v>0</v>
      </c>
      <c r="B83" t="s">
        <v>412</v>
      </c>
      <c r="C83" t="s">
        <v>3</v>
      </c>
      <c r="D83" t="s">
        <v>39</v>
      </c>
      <c r="E83" t="s">
        <v>39</v>
      </c>
      <c r="F83" t="s">
        <v>102</v>
      </c>
      <c r="G83">
        <v>32</v>
      </c>
      <c r="H83" t="s">
        <v>413</v>
      </c>
      <c r="I83">
        <v>0.40625014901161194</v>
      </c>
      <c r="J83">
        <v>0.50772219896316528</v>
      </c>
      <c r="L83">
        <v>0</v>
      </c>
      <c r="O83" t="s">
        <v>102</v>
      </c>
      <c r="P83">
        <v>1</v>
      </c>
      <c r="Q83">
        <v>4000000</v>
      </c>
      <c r="R83">
        <v>4000000</v>
      </c>
      <c r="S83">
        <f t="shared" si="8"/>
        <v>0</v>
      </c>
      <c r="T83">
        <f t="shared" si="9"/>
        <v>0</v>
      </c>
      <c r="U83">
        <f t="shared" si="1"/>
        <v>0</v>
      </c>
      <c r="V83">
        <v>1</v>
      </c>
      <c r="W83">
        <f t="shared" si="2"/>
        <v>0</v>
      </c>
      <c r="X83">
        <f t="shared" si="3"/>
        <v>0</v>
      </c>
      <c r="Y83">
        <f t="shared" si="4"/>
        <v>0</v>
      </c>
      <c r="Z83">
        <f t="shared" si="5"/>
        <v>0</v>
      </c>
      <c r="AA83">
        <f t="shared" si="10"/>
        <v>0</v>
      </c>
      <c r="AB83">
        <f t="shared" si="11"/>
        <v>0</v>
      </c>
      <c r="AC83">
        <f t="shared" si="12"/>
        <v>0</v>
      </c>
      <c r="AD83">
        <f t="shared" si="6"/>
        <v>0</v>
      </c>
      <c r="AE83">
        <f t="shared" si="7"/>
        <v>0</v>
      </c>
      <c r="AF83">
        <f t="shared" si="13"/>
        <v>4000000</v>
      </c>
    </row>
    <row r="84" spans="1:32" x14ac:dyDescent="0.35">
      <c r="A84" s="1">
        <v>0</v>
      </c>
      <c r="B84" t="s">
        <v>324</v>
      </c>
      <c r="C84" t="s">
        <v>10</v>
      </c>
      <c r="D84" t="s">
        <v>39</v>
      </c>
      <c r="E84" t="s">
        <v>39</v>
      </c>
      <c r="F84" t="s">
        <v>134</v>
      </c>
      <c r="G84">
        <v>32</v>
      </c>
      <c r="H84" t="s">
        <v>325</v>
      </c>
      <c r="I84">
        <v>0.65727376937866211</v>
      </c>
      <c r="J84">
        <v>0.48997864127159119</v>
      </c>
      <c r="K84">
        <v>1</v>
      </c>
      <c r="L84">
        <v>5000000</v>
      </c>
      <c r="M84">
        <v>5000000</v>
      </c>
      <c r="O84" t="s">
        <v>86</v>
      </c>
      <c r="P84">
        <v>1</v>
      </c>
      <c r="Q84">
        <v>1000000</v>
      </c>
      <c r="R84">
        <v>1000000</v>
      </c>
      <c r="S84">
        <f t="shared" si="8"/>
        <v>0</v>
      </c>
      <c r="T84">
        <f t="shared" si="9"/>
        <v>1</v>
      </c>
      <c r="U84">
        <f t="shared" si="1"/>
        <v>0</v>
      </c>
      <c r="V84">
        <v>0</v>
      </c>
      <c r="W84">
        <f t="shared" si="2"/>
        <v>0</v>
      </c>
      <c r="X84">
        <f t="shared" si="3"/>
        <v>0</v>
      </c>
      <c r="Y84">
        <f t="shared" si="4"/>
        <v>0</v>
      </c>
      <c r="Z84">
        <f t="shared" si="5"/>
        <v>0</v>
      </c>
      <c r="AA84">
        <f t="shared" si="10"/>
        <v>0</v>
      </c>
      <c r="AB84">
        <f t="shared" si="11"/>
        <v>0</v>
      </c>
      <c r="AC84">
        <f t="shared" si="12"/>
        <v>0</v>
      </c>
      <c r="AD84">
        <f t="shared" si="6"/>
        <v>0</v>
      </c>
      <c r="AE84">
        <f t="shared" si="7"/>
        <v>0</v>
      </c>
      <c r="AF84">
        <f t="shared" si="13"/>
        <v>5000000</v>
      </c>
    </row>
    <row r="85" spans="1:32" x14ac:dyDescent="0.35">
      <c r="A85" s="1">
        <v>0</v>
      </c>
      <c r="B85" t="s">
        <v>221</v>
      </c>
      <c r="C85" t="s">
        <v>222</v>
      </c>
      <c r="D85" t="s">
        <v>39</v>
      </c>
      <c r="E85" t="s">
        <v>39</v>
      </c>
      <c r="F85" t="s">
        <v>149</v>
      </c>
      <c r="G85">
        <v>40</v>
      </c>
      <c r="H85" t="s">
        <v>223</v>
      </c>
      <c r="I85">
        <v>1.155468225479126</v>
      </c>
      <c r="J85">
        <v>0.48882424831390381</v>
      </c>
      <c r="K85">
        <v>1</v>
      </c>
      <c r="L85">
        <v>8000000</v>
      </c>
      <c r="M85">
        <v>8000000</v>
      </c>
      <c r="O85" t="s">
        <v>104</v>
      </c>
      <c r="P85">
        <v>1</v>
      </c>
      <c r="Q85">
        <v>6000000</v>
      </c>
      <c r="R85">
        <v>6000000</v>
      </c>
      <c r="S85">
        <f t="shared" si="8"/>
        <v>0</v>
      </c>
      <c r="T85">
        <f t="shared" si="9"/>
        <v>0</v>
      </c>
      <c r="U85">
        <f t="shared" si="1"/>
        <v>0</v>
      </c>
      <c r="V85">
        <v>0</v>
      </c>
      <c r="W85">
        <f t="shared" si="2"/>
        <v>1</v>
      </c>
      <c r="X85">
        <f t="shared" si="3"/>
        <v>0</v>
      </c>
      <c r="Y85">
        <f t="shared" si="4"/>
        <v>0</v>
      </c>
      <c r="Z85">
        <f t="shared" si="5"/>
        <v>0</v>
      </c>
      <c r="AA85">
        <f t="shared" si="10"/>
        <v>0</v>
      </c>
      <c r="AB85">
        <f t="shared" si="11"/>
        <v>0</v>
      </c>
      <c r="AC85">
        <f t="shared" si="12"/>
        <v>0</v>
      </c>
      <c r="AD85">
        <f t="shared" si="6"/>
        <v>0</v>
      </c>
      <c r="AE85">
        <f t="shared" si="7"/>
        <v>1</v>
      </c>
      <c r="AF85">
        <f t="shared" si="13"/>
        <v>8000000</v>
      </c>
    </row>
    <row r="86" spans="1:32" x14ac:dyDescent="0.35">
      <c r="A86" s="1">
        <v>0</v>
      </c>
      <c r="B86" t="s">
        <v>280</v>
      </c>
      <c r="C86" t="s">
        <v>10</v>
      </c>
      <c r="D86" t="s">
        <v>39</v>
      </c>
      <c r="E86" t="s">
        <v>39</v>
      </c>
      <c r="F86" t="s">
        <v>70</v>
      </c>
      <c r="G86">
        <v>32</v>
      </c>
      <c r="H86" t="s">
        <v>281</v>
      </c>
      <c r="I86">
        <v>0.84156197309494019</v>
      </c>
      <c r="J86">
        <v>0.48005053400993347</v>
      </c>
      <c r="K86">
        <v>1</v>
      </c>
      <c r="L86">
        <v>6000000</v>
      </c>
      <c r="M86">
        <v>6000000</v>
      </c>
      <c r="O86" t="s">
        <v>102</v>
      </c>
      <c r="P86">
        <v>1</v>
      </c>
      <c r="Q86">
        <v>4500000</v>
      </c>
      <c r="R86">
        <v>4500000</v>
      </c>
      <c r="S86">
        <f t="shared" si="8"/>
        <v>0</v>
      </c>
      <c r="T86">
        <f t="shared" si="9"/>
        <v>1</v>
      </c>
      <c r="U86">
        <f t="shared" si="1"/>
        <v>0</v>
      </c>
      <c r="V86">
        <v>0</v>
      </c>
      <c r="W86">
        <f t="shared" si="2"/>
        <v>0</v>
      </c>
      <c r="X86">
        <f t="shared" si="3"/>
        <v>0</v>
      </c>
      <c r="Y86">
        <f t="shared" si="4"/>
        <v>0</v>
      </c>
      <c r="Z86">
        <f t="shared" si="5"/>
        <v>0</v>
      </c>
      <c r="AA86">
        <f t="shared" si="10"/>
        <v>0</v>
      </c>
      <c r="AB86">
        <f t="shared" si="11"/>
        <v>0</v>
      </c>
      <c r="AC86">
        <f t="shared" si="12"/>
        <v>0</v>
      </c>
      <c r="AD86">
        <f t="shared" si="6"/>
        <v>0</v>
      </c>
      <c r="AE86">
        <f t="shared" si="7"/>
        <v>0</v>
      </c>
      <c r="AF86">
        <f t="shared" si="13"/>
        <v>6000000</v>
      </c>
    </row>
    <row r="87" spans="1:32" x14ac:dyDescent="0.35">
      <c r="A87" s="1">
        <v>0</v>
      </c>
      <c r="B87" t="s">
        <v>609</v>
      </c>
      <c r="C87" t="s">
        <v>191</v>
      </c>
      <c r="D87" t="s">
        <v>39</v>
      </c>
      <c r="E87" t="s">
        <v>39</v>
      </c>
      <c r="F87" t="s">
        <v>81</v>
      </c>
      <c r="G87">
        <v>37</v>
      </c>
      <c r="H87" t="s">
        <v>278</v>
      </c>
      <c r="I87">
        <v>-6.2733389437198639E-2</v>
      </c>
      <c r="J87">
        <v>0.47512528300285339</v>
      </c>
      <c r="K87">
        <v>1</v>
      </c>
      <c r="L87">
        <v>3000000</v>
      </c>
      <c r="M87">
        <v>3000000</v>
      </c>
      <c r="O87" t="s">
        <v>125</v>
      </c>
      <c r="P87">
        <v>1</v>
      </c>
      <c r="Q87">
        <v>4025000</v>
      </c>
      <c r="R87">
        <v>4025000</v>
      </c>
      <c r="S87">
        <f t="shared" si="8"/>
        <v>0</v>
      </c>
      <c r="T87">
        <f t="shared" si="9"/>
        <v>0</v>
      </c>
      <c r="U87">
        <f t="shared" ref="U87:U150" si="14">IF(ISNUMBER(SEARCH("RP", $C87)), 1, 0)</f>
        <v>0</v>
      </c>
      <c r="V87">
        <v>0</v>
      </c>
      <c r="W87">
        <f t="shared" ref="W87:W150" si="15">IF(ISNUMBER(SEARCH("1B", $C87)), 1, 0)</f>
        <v>0</v>
      </c>
      <c r="X87">
        <f t="shared" ref="X87:X150" si="16">IF(ISNUMBER(SEARCH("2B", $C87)), 1, 0)</f>
        <v>0</v>
      </c>
      <c r="Y87">
        <f t="shared" ref="Y87:Y150" si="17">IF(ISNUMBER(SEARCH("SS", $C87)), 1, 0)</f>
        <v>0</v>
      </c>
      <c r="Z87">
        <f t="shared" ref="Z87:Z150" si="18">IF(ISNUMBER(SEARCH("3B", $C87)), 1, 0)</f>
        <v>0</v>
      </c>
      <c r="AA87">
        <f t="shared" si="10"/>
        <v>1</v>
      </c>
      <c r="AB87">
        <f t="shared" si="11"/>
        <v>0</v>
      </c>
      <c r="AC87">
        <f t="shared" si="12"/>
        <v>1</v>
      </c>
      <c r="AD87">
        <f t="shared" ref="AD87:AD150" si="19">IF(ISNUMBER(SEARCH("OF", $C87)), 1, 0)</f>
        <v>0</v>
      </c>
      <c r="AE87">
        <f t="shared" ref="AE87:AE150" si="20">IF(ISNUMBER(SEARCH("DH", $C87)), 1, 0)</f>
        <v>1</v>
      </c>
      <c r="AF87">
        <f t="shared" si="13"/>
        <v>3000000</v>
      </c>
    </row>
    <row r="88" spans="1:32" x14ac:dyDescent="0.35">
      <c r="A88" s="1">
        <v>0</v>
      </c>
      <c r="B88" t="s">
        <v>276</v>
      </c>
      <c r="C88" t="s">
        <v>277</v>
      </c>
      <c r="D88" t="s">
        <v>39</v>
      </c>
      <c r="E88" t="s">
        <v>39</v>
      </c>
      <c r="F88" t="s">
        <v>42</v>
      </c>
      <c r="G88">
        <v>36</v>
      </c>
      <c r="H88" t="s">
        <v>278</v>
      </c>
      <c r="I88">
        <v>0.84329807758331299</v>
      </c>
      <c r="J88">
        <v>0.46673786640167236</v>
      </c>
      <c r="K88">
        <v>1</v>
      </c>
      <c r="L88">
        <v>8000000</v>
      </c>
      <c r="M88">
        <v>8000000</v>
      </c>
      <c r="O88" t="s">
        <v>81</v>
      </c>
      <c r="P88">
        <v>1</v>
      </c>
      <c r="Q88">
        <v>1400000</v>
      </c>
      <c r="R88">
        <v>1400000</v>
      </c>
      <c r="S88">
        <f t="shared" ref="S88:S151" si="21">IF(N88&gt;0, 1, 0)</f>
        <v>0</v>
      </c>
      <c r="T88">
        <f t="shared" ref="T88:T151" si="22">IF(ISNUMBER(SEARCH("SP", $C88)), 1, 0)</f>
        <v>0</v>
      </c>
      <c r="U88">
        <f t="shared" si="14"/>
        <v>0</v>
      </c>
      <c r="V88">
        <v>0</v>
      </c>
      <c r="W88">
        <f t="shared" si="15"/>
        <v>1</v>
      </c>
      <c r="X88">
        <f t="shared" si="16"/>
        <v>0</v>
      </c>
      <c r="Y88">
        <f t="shared" si="17"/>
        <v>0</v>
      </c>
      <c r="Z88">
        <f t="shared" si="18"/>
        <v>0</v>
      </c>
      <c r="AA88">
        <f t="shared" ref="AA88:AA151" si="23">IF($AD88=1, 1, IF(ISNUMBER(SEARCH("LF", $C88)), 1, 0))</f>
        <v>1</v>
      </c>
      <c r="AB88">
        <f t="shared" ref="AB88:AB151" si="24">IF($AD88=1, 1, IF(ISNUMBER(SEARCH("CF", $C88)), 1, 0))</f>
        <v>0</v>
      </c>
      <c r="AC88">
        <f t="shared" ref="AC88:AC151" si="25">IF($AD88=1, 1, IF(ISNUMBER(SEARCH("RF", $C88)), 1, 0))</f>
        <v>1</v>
      </c>
      <c r="AD88">
        <f t="shared" si="19"/>
        <v>0</v>
      </c>
      <c r="AE88">
        <f t="shared" si="20"/>
        <v>0</v>
      </c>
      <c r="AF88">
        <f t="shared" si="13"/>
        <v>8000000</v>
      </c>
    </row>
    <row r="89" spans="1:32" x14ac:dyDescent="0.35">
      <c r="A89" s="1">
        <v>0</v>
      </c>
      <c r="B89" t="s">
        <v>650</v>
      </c>
      <c r="C89" t="s">
        <v>273</v>
      </c>
      <c r="D89" t="s">
        <v>39</v>
      </c>
      <c r="E89" t="s">
        <v>39</v>
      </c>
      <c r="F89" t="s">
        <v>56</v>
      </c>
      <c r="G89">
        <v>32</v>
      </c>
      <c r="H89" t="s">
        <v>651</v>
      </c>
      <c r="I89">
        <v>-0.17791733145713806</v>
      </c>
      <c r="J89">
        <v>0.4653795063495636</v>
      </c>
      <c r="K89">
        <v>1</v>
      </c>
      <c r="L89">
        <v>4000000</v>
      </c>
      <c r="M89">
        <v>4000000</v>
      </c>
      <c r="O89" t="s">
        <v>151</v>
      </c>
      <c r="P89">
        <v>1</v>
      </c>
      <c r="Q89">
        <v>1750000</v>
      </c>
      <c r="R89">
        <v>1750000</v>
      </c>
      <c r="S89">
        <f t="shared" si="21"/>
        <v>0</v>
      </c>
      <c r="T89">
        <f t="shared" si="22"/>
        <v>0</v>
      </c>
      <c r="U89">
        <f t="shared" si="14"/>
        <v>0</v>
      </c>
      <c r="V89">
        <v>0</v>
      </c>
      <c r="W89">
        <f t="shared" si="15"/>
        <v>0</v>
      </c>
      <c r="X89">
        <f t="shared" si="16"/>
        <v>0</v>
      </c>
      <c r="Y89">
        <f t="shared" si="17"/>
        <v>0</v>
      </c>
      <c r="Z89">
        <f t="shared" si="18"/>
        <v>0</v>
      </c>
      <c r="AA89">
        <f t="shared" si="23"/>
        <v>1</v>
      </c>
      <c r="AB89">
        <f t="shared" si="24"/>
        <v>1</v>
      </c>
      <c r="AC89">
        <f t="shared" si="25"/>
        <v>1</v>
      </c>
      <c r="AD89">
        <f t="shared" si="19"/>
        <v>0</v>
      </c>
      <c r="AE89">
        <f t="shared" si="20"/>
        <v>0</v>
      </c>
      <c r="AF89">
        <f t="shared" si="13"/>
        <v>4000000</v>
      </c>
    </row>
    <row r="90" spans="1:32" x14ac:dyDescent="0.35">
      <c r="A90" s="1">
        <v>1</v>
      </c>
      <c r="B90" t="s">
        <v>292</v>
      </c>
      <c r="C90" t="s">
        <v>293</v>
      </c>
      <c r="D90" t="s">
        <v>39</v>
      </c>
      <c r="E90" t="s">
        <v>39</v>
      </c>
      <c r="F90" t="s">
        <v>46</v>
      </c>
      <c r="G90">
        <v>37</v>
      </c>
      <c r="H90" t="s">
        <v>294</v>
      </c>
      <c r="I90">
        <v>0.77848356962203979</v>
      </c>
      <c r="J90">
        <v>0.44243860244750977</v>
      </c>
      <c r="L90">
        <v>0</v>
      </c>
      <c r="O90" t="s">
        <v>149</v>
      </c>
      <c r="P90">
        <v>1</v>
      </c>
      <c r="Q90">
        <v>3500000</v>
      </c>
      <c r="R90">
        <v>3500000</v>
      </c>
      <c r="S90">
        <f t="shared" si="21"/>
        <v>0</v>
      </c>
      <c r="T90">
        <f t="shared" si="22"/>
        <v>0</v>
      </c>
      <c r="U90">
        <f t="shared" si="14"/>
        <v>0</v>
      </c>
      <c r="V90">
        <v>0</v>
      </c>
      <c r="W90">
        <f t="shared" si="15"/>
        <v>1</v>
      </c>
      <c r="X90">
        <f t="shared" si="16"/>
        <v>0</v>
      </c>
      <c r="Y90">
        <f t="shared" si="17"/>
        <v>0</v>
      </c>
      <c r="Z90">
        <f t="shared" si="18"/>
        <v>1</v>
      </c>
      <c r="AA90">
        <f t="shared" si="23"/>
        <v>0</v>
      </c>
      <c r="AB90">
        <f t="shared" si="24"/>
        <v>0</v>
      </c>
      <c r="AC90">
        <f t="shared" si="25"/>
        <v>0</v>
      </c>
      <c r="AD90">
        <f t="shared" si="19"/>
        <v>0</v>
      </c>
      <c r="AE90">
        <f t="shared" si="20"/>
        <v>1</v>
      </c>
      <c r="AF90">
        <f t="shared" si="13"/>
        <v>3500000</v>
      </c>
    </row>
    <row r="91" spans="1:32" x14ac:dyDescent="0.35">
      <c r="A91" s="1">
        <v>0</v>
      </c>
      <c r="B91" t="s">
        <v>187</v>
      </c>
      <c r="C91" t="s">
        <v>9</v>
      </c>
      <c r="D91" t="s">
        <v>45</v>
      </c>
      <c r="E91" t="s">
        <v>39</v>
      </c>
      <c r="F91" t="s">
        <v>53</v>
      </c>
      <c r="G91">
        <v>37</v>
      </c>
      <c r="H91" t="s">
        <v>188</v>
      </c>
      <c r="I91">
        <v>1.4145267009735107</v>
      </c>
      <c r="J91">
        <v>0.440388023853302</v>
      </c>
      <c r="K91">
        <v>1</v>
      </c>
      <c r="L91">
        <v>12000000</v>
      </c>
      <c r="M91">
        <v>12000000</v>
      </c>
      <c r="O91" t="s">
        <v>62</v>
      </c>
      <c r="P91">
        <v>1</v>
      </c>
      <c r="Q91">
        <v>10000000</v>
      </c>
      <c r="R91">
        <v>10000000</v>
      </c>
      <c r="S91">
        <f t="shared" si="21"/>
        <v>0</v>
      </c>
      <c r="T91">
        <f t="shared" si="22"/>
        <v>0</v>
      </c>
      <c r="U91">
        <f t="shared" si="14"/>
        <v>1</v>
      </c>
      <c r="V91">
        <v>0</v>
      </c>
      <c r="W91">
        <f t="shared" si="15"/>
        <v>0</v>
      </c>
      <c r="X91">
        <f t="shared" si="16"/>
        <v>0</v>
      </c>
      <c r="Y91">
        <f t="shared" si="17"/>
        <v>0</v>
      </c>
      <c r="Z91">
        <f t="shared" si="18"/>
        <v>0</v>
      </c>
      <c r="AA91">
        <f t="shared" si="23"/>
        <v>0</v>
      </c>
      <c r="AB91">
        <f t="shared" si="24"/>
        <v>0</v>
      </c>
      <c r="AC91">
        <f t="shared" si="25"/>
        <v>0</v>
      </c>
      <c r="AD91">
        <f t="shared" si="19"/>
        <v>0</v>
      </c>
      <c r="AE91">
        <f t="shared" si="20"/>
        <v>0</v>
      </c>
      <c r="AF91">
        <f t="shared" si="13"/>
        <v>12000000</v>
      </c>
    </row>
    <row r="92" spans="1:32" x14ac:dyDescent="0.35">
      <c r="A92" s="1">
        <v>0</v>
      </c>
      <c r="B92" t="s">
        <v>283</v>
      </c>
      <c r="C92" t="s">
        <v>65</v>
      </c>
      <c r="D92" t="s">
        <v>33</v>
      </c>
      <c r="E92" t="s">
        <v>33</v>
      </c>
      <c r="F92" t="s">
        <v>51</v>
      </c>
      <c r="G92">
        <v>35</v>
      </c>
      <c r="H92" t="s">
        <v>284</v>
      </c>
      <c r="I92">
        <v>0.83742117881774902</v>
      </c>
      <c r="J92">
        <v>0.43120884895324707</v>
      </c>
      <c r="K92">
        <v>1</v>
      </c>
      <c r="L92">
        <v>6000000</v>
      </c>
      <c r="M92">
        <v>6000000</v>
      </c>
      <c r="O92" t="s">
        <v>46</v>
      </c>
      <c r="P92">
        <v>1</v>
      </c>
      <c r="Q92">
        <v>1000000</v>
      </c>
      <c r="R92">
        <v>1000000</v>
      </c>
      <c r="S92">
        <f t="shared" si="21"/>
        <v>0</v>
      </c>
      <c r="T92">
        <f t="shared" si="22"/>
        <v>0</v>
      </c>
      <c r="U92">
        <f t="shared" si="14"/>
        <v>0</v>
      </c>
      <c r="V92">
        <v>0</v>
      </c>
      <c r="W92">
        <f t="shared" si="15"/>
        <v>0</v>
      </c>
      <c r="X92">
        <f t="shared" si="16"/>
        <v>0</v>
      </c>
      <c r="Y92">
        <f t="shared" si="17"/>
        <v>0</v>
      </c>
      <c r="Z92">
        <f t="shared" si="18"/>
        <v>0</v>
      </c>
      <c r="AA92">
        <f t="shared" si="23"/>
        <v>1</v>
      </c>
      <c r="AB92">
        <f t="shared" si="24"/>
        <v>0</v>
      </c>
      <c r="AC92">
        <f t="shared" si="25"/>
        <v>1</v>
      </c>
      <c r="AD92">
        <f t="shared" si="19"/>
        <v>0</v>
      </c>
      <c r="AE92">
        <f t="shared" si="20"/>
        <v>0</v>
      </c>
      <c r="AF92">
        <f t="shared" si="13"/>
        <v>6000000</v>
      </c>
    </row>
    <row r="93" spans="1:32" x14ac:dyDescent="0.35">
      <c r="A93" s="1">
        <v>0</v>
      </c>
      <c r="B93" t="s">
        <v>508</v>
      </c>
      <c r="C93" t="s">
        <v>116</v>
      </c>
      <c r="D93" t="s">
        <v>39</v>
      </c>
      <c r="E93" t="s">
        <v>39</v>
      </c>
      <c r="F93" t="s">
        <v>134</v>
      </c>
      <c r="G93">
        <v>29</v>
      </c>
      <c r="H93" t="s">
        <v>290</v>
      </c>
      <c r="I93">
        <v>0.16543266177177429</v>
      </c>
      <c r="J93">
        <v>0.42910003662109375</v>
      </c>
      <c r="L93">
        <v>0</v>
      </c>
      <c r="O93" t="s">
        <v>70</v>
      </c>
      <c r="P93">
        <v>1</v>
      </c>
      <c r="Q93">
        <v>5000000</v>
      </c>
      <c r="R93">
        <v>5000000</v>
      </c>
      <c r="S93">
        <f t="shared" si="21"/>
        <v>0</v>
      </c>
      <c r="T93">
        <f t="shared" si="22"/>
        <v>0</v>
      </c>
      <c r="U93">
        <f t="shared" si="14"/>
        <v>0</v>
      </c>
      <c r="V93">
        <v>0</v>
      </c>
      <c r="W93">
        <f t="shared" si="15"/>
        <v>0</v>
      </c>
      <c r="X93">
        <f t="shared" si="16"/>
        <v>0</v>
      </c>
      <c r="Y93">
        <f t="shared" si="17"/>
        <v>0</v>
      </c>
      <c r="Z93">
        <f t="shared" si="18"/>
        <v>0</v>
      </c>
      <c r="AA93">
        <f t="shared" si="23"/>
        <v>1</v>
      </c>
      <c r="AB93">
        <f t="shared" si="24"/>
        <v>1</v>
      </c>
      <c r="AC93">
        <f t="shared" si="25"/>
        <v>1</v>
      </c>
      <c r="AD93">
        <f t="shared" si="19"/>
        <v>0</v>
      </c>
      <c r="AE93">
        <f t="shared" si="20"/>
        <v>0</v>
      </c>
      <c r="AF93">
        <f t="shared" si="13"/>
        <v>5000000</v>
      </c>
    </row>
    <row r="94" spans="1:32" x14ac:dyDescent="0.35">
      <c r="A94" s="1">
        <v>0</v>
      </c>
      <c r="B94" t="s">
        <v>456</v>
      </c>
      <c r="C94" t="s">
        <v>9</v>
      </c>
      <c r="D94" t="s">
        <v>39</v>
      </c>
      <c r="E94" t="s">
        <v>33</v>
      </c>
      <c r="F94" t="s">
        <v>51</v>
      </c>
      <c r="G94">
        <v>28</v>
      </c>
      <c r="H94" t="s">
        <v>457</v>
      </c>
      <c r="I94">
        <v>0.27226126194000244</v>
      </c>
      <c r="J94">
        <v>0.41508489847183228</v>
      </c>
      <c r="K94">
        <v>1</v>
      </c>
      <c r="L94">
        <v>3000000</v>
      </c>
      <c r="M94">
        <v>3000000</v>
      </c>
      <c r="O94" t="s">
        <v>125</v>
      </c>
      <c r="P94">
        <v>1</v>
      </c>
      <c r="Q94">
        <v>3000000</v>
      </c>
      <c r="R94">
        <v>3000000</v>
      </c>
      <c r="S94">
        <f t="shared" si="21"/>
        <v>0</v>
      </c>
      <c r="T94">
        <f t="shared" si="22"/>
        <v>0</v>
      </c>
      <c r="U94">
        <f t="shared" si="14"/>
        <v>1</v>
      </c>
      <c r="V94">
        <v>0</v>
      </c>
      <c r="W94">
        <f t="shared" si="15"/>
        <v>0</v>
      </c>
      <c r="X94">
        <f t="shared" si="16"/>
        <v>0</v>
      </c>
      <c r="Y94">
        <f t="shared" si="17"/>
        <v>0</v>
      </c>
      <c r="Z94">
        <f t="shared" si="18"/>
        <v>0</v>
      </c>
      <c r="AA94">
        <f t="shared" si="23"/>
        <v>0</v>
      </c>
      <c r="AB94">
        <f t="shared" si="24"/>
        <v>0</v>
      </c>
      <c r="AC94">
        <f t="shared" si="25"/>
        <v>0</v>
      </c>
      <c r="AD94">
        <f t="shared" si="19"/>
        <v>0</v>
      </c>
      <c r="AE94">
        <f t="shared" si="20"/>
        <v>0</v>
      </c>
      <c r="AF94">
        <f t="shared" si="13"/>
        <v>3000000</v>
      </c>
    </row>
    <row r="95" spans="1:32" x14ac:dyDescent="0.35">
      <c r="A95" s="1">
        <v>0</v>
      </c>
      <c r="B95" t="s">
        <v>144</v>
      </c>
      <c r="C95" t="s">
        <v>9</v>
      </c>
      <c r="D95" t="s">
        <v>33</v>
      </c>
      <c r="E95" t="s">
        <v>39</v>
      </c>
      <c r="F95" t="s">
        <v>97</v>
      </c>
      <c r="G95">
        <v>38</v>
      </c>
      <c r="H95" t="s">
        <v>145</v>
      </c>
      <c r="I95">
        <v>1.8954391479492188</v>
      </c>
      <c r="J95">
        <v>0.41145837306976318</v>
      </c>
      <c r="K95">
        <v>1</v>
      </c>
      <c r="L95">
        <v>9000000</v>
      </c>
      <c r="M95">
        <v>9000000</v>
      </c>
      <c r="O95" t="s">
        <v>66</v>
      </c>
      <c r="P95">
        <v>1</v>
      </c>
      <c r="Q95">
        <v>13000000</v>
      </c>
      <c r="R95">
        <v>13000000</v>
      </c>
      <c r="S95">
        <f t="shared" si="21"/>
        <v>0</v>
      </c>
      <c r="T95">
        <f t="shared" si="22"/>
        <v>0</v>
      </c>
      <c r="U95">
        <f t="shared" si="14"/>
        <v>1</v>
      </c>
      <c r="V95">
        <v>0</v>
      </c>
      <c r="W95">
        <f t="shared" si="15"/>
        <v>0</v>
      </c>
      <c r="X95">
        <f t="shared" si="16"/>
        <v>0</v>
      </c>
      <c r="Y95">
        <f t="shared" si="17"/>
        <v>0</v>
      </c>
      <c r="Z95">
        <f t="shared" si="18"/>
        <v>0</v>
      </c>
      <c r="AA95">
        <f t="shared" si="23"/>
        <v>0</v>
      </c>
      <c r="AB95">
        <f t="shared" si="24"/>
        <v>0</v>
      </c>
      <c r="AC95">
        <f t="shared" si="25"/>
        <v>0</v>
      </c>
      <c r="AD95">
        <f t="shared" si="19"/>
        <v>0</v>
      </c>
      <c r="AE95">
        <f t="shared" si="20"/>
        <v>0</v>
      </c>
      <c r="AF95">
        <f t="shared" si="13"/>
        <v>9000000</v>
      </c>
    </row>
    <row r="96" spans="1:32" x14ac:dyDescent="0.35">
      <c r="A96" s="1">
        <v>0</v>
      </c>
      <c r="B96" t="s">
        <v>496</v>
      </c>
      <c r="C96" t="s">
        <v>9</v>
      </c>
      <c r="D96" t="s">
        <v>39</v>
      </c>
      <c r="E96" t="s">
        <v>33</v>
      </c>
      <c r="F96" t="s">
        <v>100</v>
      </c>
      <c r="G96">
        <v>38</v>
      </c>
      <c r="H96" t="s">
        <v>497</v>
      </c>
      <c r="I96">
        <v>0.19309237599372864</v>
      </c>
      <c r="J96">
        <v>0.39941444993019104</v>
      </c>
      <c r="K96">
        <v>1</v>
      </c>
      <c r="L96">
        <v>3000000</v>
      </c>
      <c r="M96">
        <v>3000000</v>
      </c>
      <c r="O96" t="s">
        <v>104</v>
      </c>
      <c r="P96">
        <v>1</v>
      </c>
      <c r="Q96">
        <v>2750000</v>
      </c>
      <c r="R96">
        <v>2750000</v>
      </c>
      <c r="S96">
        <f t="shared" si="21"/>
        <v>0</v>
      </c>
      <c r="T96">
        <f t="shared" si="22"/>
        <v>0</v>
      </c>
      <c r="U96">
        <f t="shared" si="14"/>
        <v>1</v>
      </c>
      <c r="V96">
        <v>0</v>
      </c>
      <c r="W96">
        <f t="shared" si="15"/>
        <v>0</v>
      </c>
      <c r="X96">
        <f t="shared" si="16"/>
        <v>0</v>
      </c>
      <c r="Y96">
        <f t="shared" si="17"/>
        <v>0</v>
      </c>
      <c r="Z96">
        <f t="shared" si="18"/>
        <v>0</v>
      </c>
      <c r="AA96">
        <f t="shared" si="23"/>
        <v>0</v>
      </c>
      <c r="AB96">
        <f t="shared" si="24"/>
        <v>0</v>
      </c>
      <c r="AC96">
        <f t="shared" si="25"/>
        <v>0</v>
      </c>
      <c r="AD96">
        <f t="shared" si="19"/>
        <v>0</v>
      </c>
      <c r="AE96">
        <f t="shared" si="20"/>
        <v>0</v>
      </c>
      <c r="AF96">
        <f t="shared" si="13"/>
        <v>3000000</v>
      </c>
    </row>
    <row r="97" spans="1:32" x14ac:dyDescent="0.35">
      <c r="A97" s="1">
        <v>0</v>
      </c>
      <c r="B97" t="s">
        <v>272</v>
      </c>
      <c r="C97" t="s">
        <v>273</v>
      </c>
      <c r="D97" t="s">
        <v>39</v>
      </c>
      <c r="E97" t="s">
        <v>39</v>
      </c>
      <c r="F97" t="s">
        <v>48</v>
      </c>
      <c r="G97">
        <v>30</v>
      </c>
      <c r="H97" t="s">
        <v>274</v>
      </c>
      <c r="I97">
        <v>0.8853071928024292</v>
      </c>
      <c r="J97">
        <v>0.39796406030654913</v>
      </c>
      <c r="L97">
        <v>0</v>
      </c>
      <c r="O97" t="s">
        <v>56</v>
      </c>
      <c r="P97">
        <v>1</v>
      </c>
      <c r="Q97">
        <v>4000000</v>
      </c>
      <c r="R97">
        <v>4000000</v>
      </c>
      <c r="S97">
        <f t="shared" si="21"/>
        <v>0</v>
      </c>
      <c r="T97">
        <f t="shared" si="22"/>
        <v>0</v>
      </c>
      <c r="U97">
        <f t="shared" si="14"/>
        <v>0</v>
      </c>
      <c r="V97">
        <v>0</v>
      </c>
      <c r="W97">
        <f t="shared" si="15"/>
        <v>0</v>
      </c>
      <c r="X97">
        <f t="shared" si="16"/>
        <v>0</v>
      </c>
      <c r="Y97">
        <f t="shared" si="17"/>
        <v>0</v>
      </c>
      <c r="Z97">
        <f t="shared" si="18"/>
        <v>0</v>
      </c>
      <c r="AA97">
        <f t="shared" si="23"/>
        <v>1</v>
      </c>
      <c r="AB97">
        <f t="shared" si="24"/>
        <v>1</v>
      </c>
      <c r="AC97">
        <f t="shared" si="25"/>
        <v>1</v>
      </c>
      <c r="AD97">
        <f t="shared" si="19"/>
        <v>0</v>
      </c>
      <c r="AE97">
        <f t="shared" si="20"/>
        <v>0</v>
      </c>
      <c r="AF97">
        <f t="shared" si="13"/>
        <v>4000000</v>
      </c>
    </row>
    <row r="98" spans="1:32" x14ac:dyDescent="0.35">
      <c r="A98" s="1">
        <v>0</v>
      </c>
      <c r="B98" t="s">
        <v>673</v>
      </c>
      <c r="C98" t="s">
        <v>116</v>
      </c>
      <c r="D98" t="s">
        <v>39</v>
      </c>
      <c r="E98" t="s">
        <v>39</v>
      </c>
      <c r="F98" t="s">
        <v>100</v>
      </c>
      <c r="G98">
        <v>30</v>
      </c>
      <c r="H98" t="s">
        <v>674</v>
      </c>
      <c r="I98">
        <v>-0.20828850567340851</v>
      </c>
      <c r="J98">
        <v>0.38682490587234497</v>
      </c>
      <c r="L98">
        <v>0</v>
      </c>
      <c r="O98" t="s">
        <v>78</v>
      </c>
      <c r="P98">
        <v>1</v>
      </c>
      <c r="Q98">
        <v>293548</v>
      </c>
      <c r="R98">
        <v>293548</v>
      </c>
      <c r="S98">
        <f t="shared" si="21"/>
        <v>0</v>
      </c>
      <c r="T98">
        <f t="shared" si="22"/>
        <v>0</v>
      </c>
      <c r="U98">
        <f t="shared" si="14"/>
        <v>0</v>
      </c>
      <c r="V98">
        <v>0</v>
      </c>
      <c r="W98">
        <f t="shared" si="15"/>
        <v>0</v>
      </c>
      <c r="X98">
        <f t="shared" si="16"/>
        <v>0</v>
      </c>
      <c r="Y98">
        <f t="shared" si="17"/>
        <v>0</v>
      </c>
      <c r="Z98">
        <f t="shared" si="18"/>
        <v>0</v>
      </c>
      <c r="AA98">
        <f t="shared" si="23"/>
        <v>1</v>
      </c>
      <c r="AB98">
        <f t="shared" si="24"/>
        <v>1</v>
      </c>
      <c r="AC98">
        <f t="shared" si="25"/>
        <v>1</v>
      </c>
      <c r="AD98">
        <f t="shared" si="19"/>
        <v>0</v>
      </c>
      <c r="AE98">
        <f t="shared" si="20"/>
        <v>0</v>
      </c>
      <c r="AF98">
        <f t="shared" si="13"/>
        <v>293548</v>
      </c>
    </row>
    <row r="99" spans="1:32" x14ac:dyDescent="0.35">
      <c r="A99" s="1">
        <v>0</v>
      </c>
      <c r="B99" t="s">
        <v>387</v>
      </c>
      <c r="C99" t="s">
        <v>3</v>
      </c>
      <c r="D99" t="s">
        <v>39</v>
      </c>
      <c r="E99" t="s">
        <v>39</v>
      </c>
      <c r="F99" t="s">
        <v>46</v>
      </c>
      <c r="G99">
        <v>34</v>
      </c>
      <c r="H99" t="s">
        <v>388</v>
      </c>
      <c r="I99">
        <v>0.47663778066635132</v>
      </c>
      <c r="J99">
        <v>0.38507866859436035</v>
      </c>
      <c r="L99">
        <v>0</v>
      </c>
      <c r="O99" t="s">
        <v>46</v>
      </c>
      <c r="P99">
        <v>1</v>
      </c>
      <c r="Q99">
        <v>3500000</v>
      </c>
      <c r="R99">
        <v>3500000</v>
      </c>
      <c r="S99">
        <f t="shared" si="21"/>
        <v>0</v>
      </c>
      <c r="T99">
        <f t="shared" si="22"/>
        <v>0</v>
      </c>
      <c r="U99">
        <f t="shared" si="14"/>
        <v>0</v>
      </c>
      <c r="V99">
        <v>1</v>
      </c>
      <c r="W99">
        <f t="shared" si="15"/>
        <v>0</v>
      </c>
      <c r="X99">
        <f t="shared" si="16"/>
        <v>0</v>
      </c>
      <c r="Y99">
        <f t="shared" si="17"/>
        <v>0</v>
      </c>
      <c r="Z99">
        <f t="shared" si="18"/>
        <v>0</v>
      </c>
      <c r="AA99">
        <f t="shared" si="23"/>
        <v>0</v>
      </c>
      <c r="AB99">
        <f t="shared" si="24"/>
        <v>0</v>
      </c>
      <c r="AC99">
        <f t="shared" si="25"/>
        <v>0</v>
      </c>
      <c r="AD99">
        <f t="shared" si="19"/>
        <v>0</v>
      </c>
      <c r="AE99">
        <f t="shared" si="20"/>
        <v>0</v>
      </c>
      <c r="AF99">
        <f t="shared" si="13"/>
        <v>3500000</v>
      </c>
    </row>
    <row r="100" spans="1:32" x14ac:dyDescent="0.35">
      <c r="A100" s="1">
        <v>0</v>
      </c>
      <c r="B100" t="s">
        <v>289</v>
      </c>
      <c r="C100" t="s">
        <v>10</v>
      </c>
      <c r="D100" t="s">
        <v>39</v>
      </c>
      <c r="E100" t="s">
        <v>39</v>
      </c>
      <c r="F100" t="s">
        <v>40</v>
      </c>
      <c r="G100">
        <v>34</v>
      </c>
      <c r="H100" t="s">
        <v>290</v>
      </c>
      <c r="I100">
        <v>0.80433559417724609</v>
      </c>
      <c r="J100">
        <v>0.38284176588058472</v>
      </c>
      <c r="L100">
        <v>0</v>
      </c>
      <c r="O100" t="s">
        <v>104</v>
      </c>
      <c r="P100">
        <v>1</v>
      </c>
      <c r="Q100">
        <v>5000000</v>
      </c>
      <c r="R100">
        <v>5000000</v>
      </c>
      <c r="S100">
        <f t="shared" si="21"/>
        <v>0</v>
      </c>
      <c r="T100">
        <f t="shared" si="22"/>
        <v>1</v>
      </c>
      <c r="U100">
        <f t="shared" si="14"/>
        <v>0</v>
      </c>
      <c r="V100">
        <v>0</v>
      </c>
      <c r="W100">
        <f t="shared" si="15"/>
        <v>0</v>
      </c>
      <c r="X100">
        <f t="shared" si="16"/>
        <v>0</v>
      </c>
      <c r="Y100">
        <f t="shared" si="17"/>
        <v>0</v>
      </c>
      <c r="Z100">
        <f t="shared" si="18"/>
        <v>0</v>
      </c>
      <c r="AA100">
        <f t="shared" si="23"/>
        <v>0</v>
      </c>
      <c r="AB100">
        <f t="shared" si="24"/>
        <v>0</v>
      </c>
      <c r="AC100">
        <f t="shared" si="25"/>
        <v>0</v>
      </c>
      <c r="AD100">
        <f t="shared" si="19"/>
        <v>0</v>
      </c>
      <c r="AE100">
        <f t="shared" si="20"/>
        <v>0</v>
      </c>
      <c r="AF100">
        <f t="shared" si="13"/>
        <v>5000000</v>
      </c>
    </row>
    <row r="101" spans="1:32" x14ac:dyDescent="0.35">
      <c r="A101" s="1">
        <v>0</v>
      </c>
      <c r="B101" t="s">
        <v>633</v>
      </c>
      <c r="C101" t="s">
        <v>10</v>
      </c>
      <c r="D101" t="s">
        <v>33</v>
      </c>
      <c r="E101" t="s">
        <v>33</v>
      </c>
      <c r="F101" t="s">
        <v>40</v>
      </c>
      <c r="G101">
        <v>38</v>
      </c>
      <c r="H101" t="s">
        <v>634</v>
      </c>
      <c r="I101">
        <v>-0.11162987351417542</v>
      </c>
      <c r="J101">
        <v>0.37820380926132202</v>
      </c>
      <c r="L101">
        <v>0</v>
      </c>
      <c r="O101" t="s">
        <v>70</v>
      </c>
      <c r="P101">
        <v>1</v>
      </c>
      <c r="Q101">
        <v>1572581</v>
      </c>
      <c r="R101">
        <v>1572581</v>
      </c>
      <c r="S101">
        <f t="shared" si="21"/>
        <v>0</v>
      </c>
      <c r="T101">
        <f t="shared" si="22"/>
        <v>1</v>
      </c>
      <c r="U101">
        <f t="shared" si="14"/>
        <v>0</v>
      </c>
      <c r="V101">
        <v>0</v>
      </c>
      <c r="W101">
        <f t="shared" si="15"/>
        <v>0</v>
      </c>
      <c r="X101">
        <f t="shared" si="16"/>
        <v>0</v>
      </c>
      <c r="Y101">
        <f t="shared" si="17"/>
        <v>0</v>
      </c>
      <c r="Z101">
        <f t="shared" si="18"/>
        <v>0</v>
      </c>
      <c r="AA101">
        <f t="shared" si="23"/>
        <v>0</v>
      </c>
      <c r="AB101">
        <f t="shared" si="24"/>
        <v>0</v>
      </c>
      <c r="AC101">
        <f t="shared" si="25"/>
        <v>0</v>
      </c>
      <c r="AD101">
        <f t="shared" si="19"/>
        <v>0</v>
      </c>
      <c r="AE101">
        <f t="shared" si="20"/>
        <v>0</v>
      </c>
      <c r="AF101">
        <f t="shared" si="13"/>
        <v>1572581</v>
      </c>
    </row>
    <row r="102" spans="1:32" x14ac:dyDescent="0.35">
      <c r="A102" s="1">
        <v>0</v>
      </c>
      <c r="B102" t="s">
        <v>380</v>
      </c>
      <c r="C102" t="s">
        <v>381</v>
      </c>
      <c r="D102" t="s">
        <v>39</v>
      </c>
      <c r="E102" t="s">
        <v>39</v>
      </c>
      <c r="F102" t="s">
        <v>81</v>
      </c>
      <c r="G102">
        <v>30</v>
      </c>
      <c r="H102" t="s">
        <v>382</v>
      </c>
      <c r="I102">
        <v>0.48683470487594604</v>
      </c>
      <c r="J102">
        <v>8.0123461782932281E-2</v>
      </c>
      <c r="L102">
        <v>0</v>
      </c>
      <c r="O102" t="s">
        <v>58</v>
      </c>
      <c r="P102">
        <v>1</v>
      </c>
      <c r="Q102">
        <v>1500000</v>
      </c>
      <c r="R102">
        <v>1500000</v>
      </c>
      <c r="S102">
        <f t="shared" si="21"/>
        <v>0</v>
      </c>
      <c r="T102">
        <f t="shared" si="22"/>
        <v>0</v>
      </c>
      <c r="U102">
        <f t="shared" si="14"/>
        <v>0</v>
      </c>
      <c r="V102">
        <v>0</v>
      </c>
      <c r="W102">
        <f t="shared" si="15"/>
        <v>0</v>
      </c>
      <c r="X102">
        <f t="shared" si="16"/>
        <v>1</v>
      </c>
      <c r="Y102">
        <f t="shared" si="17"/>
        <v>1</v>
      </c>
      <c r="Z102">
        <f t="shared" si="18"/>
        <v>1</v>
      </c>
      <c r="AA102">
        <f t="shared" si="23"/>
        <v>1</v>
      </c>
      <c r="AB102">
        <f t="shared" si="24"/>
        <v>1</v>
      </c>
      <c r="AC102">
        <f t="shared" si="25"/>
        <v>1</v>
      </c>
      <c r="AD102">
        <f t="shared" si="19"/>
        <v>1</v>
      </c>
      <c r="AE102">
        <f t="shared" si="20"/>
        <v>0</v>
      </c>
      <c r="AF102">
        <f t="shared" si="13"/>
        <v>1500000</v>
      </c>
    </row>
    <row r="103" spans="1:32" x14ac:dyDescent="0.35">
      <c r="A103" s="1">
        <v>0</v>
      </c>
      <c r="B103" t="s">
        <v>340</v>
      </c>
      <c r="C103" t="s">
        <v>65</v>
      </c>
      <c r="D103" t="s">
        <v>33</v>
      </c>
      <c r="E103" t="s">
        <v>33</v>
      </c>
      <c r="F103" t="s">
        <v>34</v>
      </c>
      <c r="G103">
        <v>29</v>
      </c>
      <c r="H103" t="s">
        <v>341</v>
      </c>
      <c r="I103">
        <v>0.60074925422668457</v>
      </c>
      <c r="J103">
        <v>0.3627261221408844</v>
      </c>
      <c r="K103">
        <v>2</v>
      </c>
      <c r="L103">
        <v>16000000</v>
      </c>
      <c r="M103">
        <v>8000000</v>
      </c>
      <c r="O103" t="s">
        <v>48</v>
      </c>
      <c r="P103">
        <v>1</v>
      </c>
      <c r="Q103">
        <v>1500000</v>
      </c>
      <c r="R103">
        <v>1500000</v>
      </c>
      <c r="S103">
        <f t="shared" si="21"/>
        <v>0</v>
      </c>
      <c r="T103">
        <f t="shared" si="22"/>
        <v>0</v>
      </c>
      <c r="U103">
        <f t="shared" si="14"/>
        <v>0</v>
      </c>
      <c r="V103">
        <v>0</v>
      </c>
      <c r="W103">
        <f t="shared" si="15"/>
        <v>0</v>
      </c>
      <c r="X103">
        <f t="shared" si="16"/>
        <v>0</v>
      </c>
      <c r="Y103">
        <f t="shared" si="17"/>
        <v>0</v>
      </c>
      <c r="Z103">
        <f t="shared" si="18"/>
        <v>0</v>
      </c>
      <c r="AA103">
        <f t="shared" si="23"/>
        <v>1</v>
      </c>
      <c r="AB103">
        <f t="shared" si="24"/>
        <v>0</v>
      </c>
      <c r="AC103">
        <f t="shared" si="25"/>
        <v>1</v>
      </c>
      <c r="AD103">
        <f t="shared" si="19"/>
        <v>0</v>
      </c>
      <c r="AE103">
        <f t="shared" si="20"/>
        <v>0</v>
      </c>
      <c r="AF103">
        <f t="shared" si="13"/>
        <v>8000000</v>
      </c>
    </row>
    <row r="104" spans="1:32" x14ac:dyDescent="0.35">
      <c r="A104" s="1">
        <v>0</v>
      </c>
      <c r="B104" t="s">
        <v>516</v>
      </c>
      <c r="C104" t="s">
        <v>9</v>
      </c>
      <c r="D104" t="s">
        <v>39</v>
      </c>
      <c r="E104" t="s">
        <v>39</v>
      </c>
      <c r="F104" t="s">
        <v>34</v>
      </c>
      <c r="G104">
        <v>30</v>
      </c>
      <c r="H104" t="s">
        <v>517</v>
      </c>
      <c r="I104">
        <v>0.14712072908878326</v>
      </c>
      <c r="J104">
        <v>0.35956120491027832</v>
      </c>
      <c r="K104">
        <v>1</v>
      </c>
      <c r="L104">
        <v>3000000</v>
      </c>
      <c r="M104">
        <v>3000000</v>
      </c>
      <c r="O104" t="s">
        <v>34</v>
      </c>
      <c r="P104">
        <v>1</v>
      </c>
      <c r="Q104">
        <v>5000000</v>
      </c>
      <c r="R104">
        <v>5000000</v>
      </c>
      <c r="S104">
        <f t="shared" si="21"/>
        <v>0</v>
      </c>
      <c r="T104">
        <f t="shared" si="22"/>
        <v>0</v>
      </c>
      <c r="U104">
        <f t="shared" si="14"/>
        <v>1</v>
      </c>
      <c r="V104">
        <v>0</v>
      </c>
      <c r="W104">
        <f t="shared" si="15"/>
        <v>0</v>
      </c>
      <c r="X104">
        <f t="shared" si="16"/>
        <v>0</v>
      </c>
      <c r="Y104">
        <f t="shared" si="17"/>
        <v>0</v>
      </c>
      <c r="Z104">
        <f t="shared" si="18"/>
        <v>0</v>
      </c>
      <c r="AA104">
        <f t="shared" si="23"/>
        <v>0</v>
      </c>
      <c r="AB104">
        <f t="shared" si="24"/>
        <v>0</v>
      </c>
      <c r="AC104">
        <f t="shared" si="25"/>
        <v>0</v>
      </c>
      <c r="AD104">
        <f t="shared" si="19"/>
        <v>0</v>
      </c>
      <c r="AE104">
        <f t="shared" si="20"/>
        <v>0</v>
      </c>
      <c r="AF104">
        <f t="shared" si="13"/>
        <v>3000000</v>
      </c>
    </row>
    <row r="105" spans="1:32" x14ac:dyDescent="0.35">
      <c r="A105" s="1">
        <v>0</v>
      </c>
      <c r="B105" t="s">
        <v>266</v>
      </c>
      <c r="C105" t="s">
        <v>10</v>
      </c>
      <c r="D105" t="s">
        <v>39</v>
      </c>
      <c r="E105" t="s">
        <v>39</v>
      </c>
      <c r="F105" t="s">
        <v>40</v>
      </c>
      <c r="G105">
        <v>32</v>
      </c>
      <c r="H105" t="s">
        <v>267</v>
      </c>
      <c r="I105">
        <v>0.89216291904449463</v>
      </c>
      <c r="J105">
        <v>0.35128909349441528</v>
      </c>
      <c r="L105">
        <v>0</v>
      </c>
      <c r="O105" t="s">
        <v>134</v>
      </c>
      <c r="P105">
        <v>1</v>
      </c>
      <c r="Q105">
        <v>4000000</v>
      </c>
      <c r="R105">
        <v>4000000</v>
      </c>
      <c r="S105">
        <f t="shared" si="21"/>
        <v>0</v>
      </c>
      <c r="T105">
        <f t="shared" si="22"/>
        <v>1</v>
      </c>
      <c r="U105">
        <f t="shared" si="14"/>
        <v>0</v>
      </c>
      <c r="V105">
        <v>0</v>
      </c>
      <c r="W105">
        <f t="shared" si="15"/>
        <v>0</v>
      </c>
      <c r="X105">
        <f t="shared" si="16"/>
        <v>0</v>
      </c>
      <c r="Y105">
        <f t="shared" si="17"/>
        <v>0</v>
      </c>
      <c r="Z105">
        <f t="shared" si="18"/>
        <v>0</v>
      </c>
      <c r="AA105">
        <f t="shared" si="23"/>
        <v>0</v>
      </c>
      <c r="AB105">
        <f t="shared" si="24"/>
        <v>0</v>
      </c>
      <c r="AC105">
        <f t="shared" si="25"/>
        <v>0</v>
      </c>
      <c r="AD105">
        <f t="shared" si="19"/>
        <v>0</v>
      </c>
      <c r="AE105">
        <f t="shared" si="20"/>
        <v>0</v>
      </c>
      <c r="AF105">
        <f t="shared" si="13"/>
        <v>4000000</v>
      </c>
    </row>
    <row r="106" spans="1:32" x14ac:dyDescent="0.35">
      <c r="A106" s="1">
        <v>0</v>
      </c>
      <c r="B106" t="s">
        <v>173</v>
      </c>
      <c r="C106" t="s">
        <v>116</v>
      </c>
      <c r="D106" t="s">
        <v>39</v>
      </c>
      <c r="E106" t="s">
        <v>39</v>
      </c>
      <c r="F106" t="s">
        <v>58</v>
      </c>
      <c r="G106">
        <v>33</v>
      </c>
      <c r="H106" t="s">
        <v>174</v>
      </c>
      <c r="I106">
        <v>1.5948176383972168</v>
      </c>
      <c r="J106">
        <v>0.34064528346061707</v>
      </c>
      <c r="L106">
        <v>0</v>
      </c>
      <c r="O106" t="s">
        <v>58</v>
      </c>
      <c r="P106">
        <v>1</v>
      </c>
      <c r="Q106">
        <v>5000000</v>
      </c>
      <c r="R106">
        <v>5000000</v>
      </c>
      <c r="S106">
        <f t="shared" si="21"/>
        <v>0</v>
      </c>
      <c r="T106">
        <f t="shared" si="22"/>
        <v>0</v>
      </c>
      <c r="U106">
        <f t="shared" si="14"/>
        <v>0</v>
      </c>
      <c r="V106">
        <v>0</v>
      </c>
      <c r="W106">
        <f t="shared" si="15"/>
        <v>0</v>
      </c>
      <c r="X106">
        <f t="shared" si="16"/>
        <v>0</v>
      </c>
      <c r="Y106">
        <f t="shared" si="17"/>
        <v>0</v>
      </c>
      <c r="Z106">
        <f t="shared" si="18"/>
        <v>0</v>
      </c>
      <c r="AA106">
        <f t="shared" si="23"/>
        <v>1</v>
      </c>
      <c r="AB106">
        <f t="shared" si="24"/>
        <v>1</v>
      </c>
      <c r="AC106">
        <f t="shared" si="25"/>
        <v>1</v>
      </c>
      <c r="AD106">
        <f t="shared" si="19"/>
        <v>0</v>
      </c>
      <c r="AE106">
        <f t="shared" si="20"/>
        <v>0</v>
      </c>
      <c r="AF106">
        <f t="shared" si="13"/>
        <v>5000000</v>
      </c>
    </row>
    <row r="107" spans="1:32" x14ac:dyDescent="0.35">
      <c r="A107" s="1">
        <v>0</v>
      </c>
      <c r="B107" t="s">
        <v>502</v>
      </c>
      <c r="C107" t="s">
        <v>9</v>
      </c>
      <c r="D107" t="s">
        <v>39</v>
      </c>
      <c r="E107" t="s">
        <v>39</v>
      </c>
      <c r="F107" t="s">
        <v>56</v>
      </c>
      <c r="G107">
        <v>37</v>
      </c>
      <c r="H107" t="s">
        <v>503</v>
      </c>
      <c r="I107">
        <v>0.17800724506378174</v>
      </c>
      <c r="J107">
        <v>0.31330904364585876</v>
      </c>
      <c r="K107">
        <v>1</v>
      </c>
      <c r="L107">
        <v>6000000</v>
      </c>
      <c r="M107">
        <v>6000000</v>
      </c>
      <c r="O107" t="s">
        <v>48</v>
      </c>
      <c r="P107">
        <v>1</v>
      </c>
      <c r="Q107">
        <v>44444</v>
      </c>
      <c r="R107">
        <v>44444</v>
      </c>
      <c r="S107">
        <f t="shared" si="21"/>
        <v>0</v>
      </c>
      <c r="T107">
        <f t="shared" si="22"/>
        <v>0</v>
      </c>
      <c r="U107">
        <f t="shared" si="14"/>
        <v>1</v>
      </c>
      <c r="V107">
        <v>0</v>
      </c>
      <c r="W107">
        <f t="shared" si="15"/>
        <v>0</v>
      </c>
      <c r="X107">
        <f t="shared" si="16"/>
        <v>0</v>
      </c>
      <c r="Y107">
        <f t="shared" si="17"/>
        <v>0</v>
      </c>
      <c r="Z107">
        <f t="shared" si="18"/>
        <v>0</v>
      </c>
      <c r="AA107">
        <f t="shared" si="23"/>
        <v>0</v>
      </c>
      <c r="AB107">
        <f t="shared" si="24"/>
        <v>0</v>
      </c>
      <c r="AC107">
        <f t="shared" si="25"/>
        <v>0</v>
      </c>
      <c r="AD107">
        <f t="shared" si="19"/>
        <v>0</v>
      </c>
      <c r="AE107">
        <f t="shared" si="20"/>
        <v>0</v>
      </c>
      <c r="AF107">
        <f t="shared" si="13"/>
        <v>6000000</v>
      </c>
    </row>
    <row r="108" spans="1:32" x14ac:dyDescent="0.35">
      <c r="A108" s="1">
        <v>0</v>
      </c>
      <c r="B108" t="s">
        <v>502</v>
      </c>
      <c r="C108" t="s">
        <v>9</v>
      </c>
      <c r="D108" t="s">
        <v>39</v>
      </c>
      <c r="E108" t="s">
        <v>39</v>
      </c>
      <c r="F108" t="s">
        <v>56</v>
      </c>
      <c r="G108">
        <v>37</v>
      </c>
      <c r="H108" t="s">
        <v>503</v>
      </c>
      <c r="I108">
        <v>0.17800724506378174</v>
      </c>
      <c r="J108">
        <v>0.31330904364585876</v>
      </c>
      <c r="K108">
        <v>1</v>
      </c>
      <c r="L108">
        <v>6000000</v>
      </c>
      <c r="M108">
        <v>6000000</v>
      </c>
      <c r="O108" t="s">
        <v>51</v>
      </c>
      <c r="P108">
        <v>1</v>
      </c>
      <c r="S108">
        <f t="shared" si="21"/>
        <v>0</v>
      </c>
      <c r="T108">
        <f t="shared" si="22"/>
        <v>0</v>
      </c>
      <c r="U108">
        <f t="shared" si="14"/>
        <v>1</v>
      </c>
      <c r="V108">
        <v>0</v>
      </c>
      <c r="W108">
        <f t="shared" si="15"/>
        <v>0</v>
      </c>
      <c r="X108">
        <f t="shared" si="16"/>
        <v>0</v>
      </c>
      <c r="Y108">
        <f t="shared" si="17"/>
        <v>0</v>
      </c>
      <c r="Z108">
        <f t="shared" si="18"/>
        <v>0</v>
      </c>
      <c r="AA108">
        <f t="shared" si="23"/>
        <v>0</v>
      </c>
      <c r="AB108">
        <f t="shared" si="24"/>
        <v>0</v>
      </c>
      <c r="AC108">
        <f t="shared" si="25"/>
        <v>0</v>
      </c>
      <c r="AD108">
        <f t="shared" si="19"/>
        <v>0</v>
      </c>
      <c r="AE108">
        <f t="shared" si="20"/>
        <v>0</v>
      </c>
      <c r="AF108">
        <f t="shared" si="13"/>
        <v>6000000</v>
      </c>
    </row>
    <row r="109" spans="1:32" x14ac:dyDescent="0.35">
      <c r="A109" s="1">
        <v>0</v>
      </c>
      <c r="B109" t="s">
        <v>225</v>
      </c>
      <c r="C109" t="s">
        <v>9</v>
      </c>
      <c r="D109" t="s">
        <v>39</v>
      </c>
      <c r="E109" t="s">
        <v>39</v>
      </c>
      <c r="F109" t="s">
        <v>134</v>
      </c>
      <c r="G109">
        <v>32</v>
      </c>
      <c r="H109" t="s">
        <v>226</v>
      </c>
      <c r="I109">
        <v>1.1321791410446167</v>
      </c>
      <c r="J109">
        <v>0.31182423233985901</v>
      </c>
      <c r="K109">
        <v>2</v>
      </c>
      <c r="L109">
        <v>18000000</v>
      </c>
      <c r="M109">
        <v>9000000</v>
      </c>
      <c r="O109" t="s">
        <v>81</v>
      </c>
      <c r="P109">
        <v>2</v>
      </c>
      <c r="Q109">
        <v>22200000</v>
      </c>
      <c r="R109">
        <v>11100000</v>
      </c>
      <c r="S109">
        <f t="shared" si="21"/>
        <v>0</v>
      </c>
      <c r="T109">
        <f t="shared" si="22"/>
        <v>0</v>
      </c>
      <c r="U109">
        <f t="shared" si="14"/>
        <v>1</v>
      </c>
      <c r="V109">
        <v>0</v>
      </c>
      <c r="W109">
        <f t="shared" si="15"/>
        <v>0</v>
      </c>
      <c r="X109">
        <f t="shared" si="16"/>
        <v>0</v>
      </c>
      <c r="Y109">
        <f t="shared" si="17"/>
        <v>0</v>
      </c>
      <c r="Z109">
        <f t="shared" si="18"/>
        <v>0</v>
      </c>
      <c r="AA109">
        <f t="shared" si="23"/>
        <v>0</v>
      </c>
      <c r="AB109">
        <f t="shared" si="24"/>
        <v>0</v>
      </c>
      <c r="AC109">
        <f t="shared" si="25"/>
        <v>0</v>
      </c>
      <c r="AD109">
        <f t="shared" si="19"/>
        <v>0</v>
      </c>
      <c r="AE109">
        <f t="shared" si="20"/>
        <v>0</v>
      </c>
      <c r="AF109">
        <f t="shared" si="13"/>
        <v>9000000</v>
      </c>
    </row>
    <row r="110" spans="1:32" x14ac:dyDescent="0.35">
      <c r="A110" s="1">
        <v>0</v>
      </c>
      <c r="B110" t="s">
        <v>306</v>
      </c>
      <c r="C110" t="s">
        <v>9</v>
      </c>
      <c r="D110" t="s">
        <v>39</v>
      </c>
      <c r="E110" t="s">
        <v>39</v>
      </c>
      <c r="F110" t="s">
        <v>104</v>
      </c>
      <c r="G110">
        <v>34</v>
      </c>
      <c r="H110" t="s">
        <v>307</v>
      </c>
      <c r="I110">
        <v>0.68513780832290649</v>
      </c>
      <c r="J110">
        <v>0.3056509792804718</v>
      </c>
      <c r="L110">
        <v>0</v>
      </c>
      <c r="O110" t="s">
        <v>97</v>
      </c>
      <c r="P110">
        <v>1</v>
      </c>
      <c r="Q110">
        <v>1250000</v>
      </c>
      <c r="R110">
        <v>1250000</v>
      </c>
      <c r="S110">
        <f t="shared" si="21"/>
        <v>0</v>
      </c>
      <c r="T110">
        <f t="shared" si="22"/>
        <v>0</v>
      </c>
      <c r="U110">
        <f t="shared" si="14"/>
        <v>1</v>
      </c>
      <c r="V110">
        <v>0</v>
      </c>
      <c r="W110">
        <f t="shared" si="15"/>
        <v>0</v>
      </c>
      <c r="X110">
        <f t="shared" si="16"/>
        <v>0</v>
      </c>
      <c r="Y110">
        <f t="shared" si="17"/>
        <v>0</v>
      </c>
      <c r="Z110">
        <f t="shared" si="18"/>
        <v>0</v>
      </c>
      <c r="AA110">
        <f t="shared" si="23"/>
        <v>0</v>
      </c>
      <c r="AB110">
        <f t="shared" si="24"/>
        <v>0</v>
      </c>
      <c r="AC110">
        <f t="shared" si="25"/>
        <v>0</v>
      </c>
      <c r="AD110">
        <f t="shared" si="19"/>
        <v>0</v>
      </c>
      <c r="AE110">
        <f t="shared" si="20"/>
        <v>0</v>
      </c>
      <c r="AF110">
        <f t="shared" si="13"/>
        <v>1250000</v>
      </c>
    </row>
    <row r="111" spans="1:32" x14ac:dyDescent="0.35">
      <c r="A111" s="1">
        <v>0</v>
      </c>
      <c r="B111" t="s">
        <v>782</v>
      </c>
      <c r="C111" t="s">
        <v>783</v>
      </c>
      <c r="D111" t="s">
        <v>39</v>
      </c>
      <c r="E111" t="s">
        <v>39</v>
      </c>
      <c r="F111" t="s">
        <v>56</v>
      </c>
      <c r="G111">
        <v>28</v>
      </c>
      <c r="H111" t="s">
        <v>61</v>
      </c>
      <c r="I111">
        <v>-0.92764467000961304</v>
      </c>
      <c r="J111">
        <v>0.30552631616592413</v>
      </c>
      <c r="K111">
        <v>1</v>
      </c>
      <c r="L111">
        <v>6000000</v>
      </c>
      <c r="M111">
        <v>6000000</v>
      </c>
      <c r="O111" t="s">
        <v>110</v>
      </c>
      <c r="P111">
        <v>1</v>
      </c>
      <c r="Q111">
        <v>0</v>
      </c>
      <c r="S111">
        <f t="shared" si="21"/>
        <v>0</v>
      </c>
      <c r="T111">
        <f t="shared" si="22"/>
        <v>0</v>
      </c>
      <c r="U111">
        <f t="shared" si="14"/>
        <v>0</v>
      </c>
      <c r="V111">
        <v>0</v>
      </c>
      <c r="W111">
        <f t="shared" si="15"/>
        <v>0</v>
      </c>
      <c r="X111">
        <f t="shared" si="16"/>
        <v>0</v>
      </c>
      <c r="Y111">
        <f t="shared" si="17"/>
        <v>0</v>
      </c>
      <c r="Z111">
        <f t="shared" si="18"/>
        <v>0</v>
      </c>
      <c r="AA111">
        <f t="shared" si="23"/>
        <v>1</v>
      </c>
      <c r="AB111">
        <f t="shared" si="24"/>
        <v>0</v>
      </c>
      <c r="AC111">
        <f t="shared" si="25"/>
        <v>1</v>
      </c>
      <c r="AD111">
        <f t="shared" si="19"/>
        <v>0</v>
      </c>
      <c r="AE111">
        <f t="shared" si="20"/>
        <v>1</v>
      </c>
      <c r="AF111">
        <f t="shared" si="13"/>
        <v>6000000</v>
      </c>
    </row>
    <row r="112" spans="1:32" x14ac:dyDescent="0.35">
      <c r="A112" s="1">
        <v>0</v>
      </c>
      <c r="B112" t="s">
        <v>585</v>
      </c>
      <c r="C112" t="s">
        <v>9</v>
      </c>
      <c r="D112" t="s">
        <v>39</v>
      </c>
      <c r="E112" t="s">
        <v>39</v>
      </c>
      <c r="F112" t="s">
        <v>66</v>
      </c>
      <c r="G112">
        <v>37</v>
      </c>
      <c r="H112" t="s">
        <v>586</v>
      </c>
      <c r="I112">
        <v>-1.9738445058465004E-2</v>
      </c>
      <c r="J112">
        <v>0.30102184414863586</v>
      </c>
      <c r="K112">
        <v>1</v>
      </c>
      <c r="L112">
        <v>5000000</v>
      </c>
      <c r="M112">
        <v>5000000</v>
      </c>
      <c r="S112">
        <f t="shared" si="21"/>
        <v>0</v>
      </c>
      <c r="T112">
        <f t="shared" si="22"/>
        <v>0</v>
      </c>
      <c r="U112">
        <f t="shared" si="14"/>
        <v>1</v>
      </c>
      <c r="V112">
        <v>0</v>
      </c>
      <c r="W112">
        <f t="shared" si="15"/>
        <v>0</v>
      </c>
      <c r="X112">
        <f t="shared" si="16"/>
        <v>0</v>
      </c>
      <c r="Y112">
        <f t="shared" si="17"/>
        <v>0</v>
      </c>
      <c r="Z112">
        <f t="shared" si="18"/>
        <v>0</v>
      </c>
      <c r="AA112">
        <f t="shared" si="23"/>
        <v>0</v>
      </c>
      <c r="AB112">
        <f t="shared" si="24"/>
        <v>0</v>
      </c>
      <c r="AC112">
        <f t="shared" si="25"/>
        <v>0</v>
      </c>
      <c r="AD112">
        <f t="shared" si="19"/>
        <v>0</v>
      </c>
      <c r="AE112">
        <f t="shared" si="20"/>
        <v>0</v>
      </c>
      <c r="AF112">
        <f t="shared" si="13"/>
        <v>5000000</v>
      </c>
    </row>
    <row r="113" spans="1:32" x14ac:dyDescent="0.35">
      <c r="A113" s="1">
        <v>0</v>
      </c>
      <c r="B113" t="s">
        <v>353</v>
      </c>
      <c r="C113" t="s">
        <v>9</v>
      </c>
      <c r="D113" t="s">
        <v>33</v>
      </c>
      <c r="E113" t="s">
        <v>33</v>
      </c>
      <c r="F113" t="s">
        <v>56</v>
      </c>
      <c r="G113">
        <v>35</v>
      </c>
      <c r="H113" t="s">
        <v>354</v>
      </c>
      <c r="I113">
        <v>0.53618401288986206</v>
      </c>
      <c r="J113">
        <v>0.29656922817230225</v>
      </c>
      <c r="L113">
        <v>0</v>
      </c>
      <c r="O113" t="s">
        <v>100</v>
      </c>
      <c r="P113">
        <v>1</v>
      </c>
      <c r="Q113">
        <v>3000000</v>
      </c>
      <c r="R113">
        <v>3000000</v>
      </c>
      <c r="S113">
        <f t="shared" si="21"/>
        <v>0</v>
      </c>
      <c r="T113">
        <f t="shared" si="22"/>
        <v>0</v>
      </c>
      <c r="U113">
        <f t="shared" si="14"/>
        <v>1</v>
      </c>
      <c r="V113">
        <v>0</v>
      </c>
      <c r="W113">
        <f t="shared" si="15"/>
        <v>0</v>
      </c>
      <c r="X113">
        <f t="shared" si="16"/>
        <v>0</v>
      </c>
      <c r="Y113">
        <f t="shared" si="17"/>
        <v>0</v>
      </c>
      <c r="Z113">
        <f t="shared" si="18"/>
        <v>0</v>
      </c>
      <c r="AA113">
        <f t="shared" si="23"/>
        <v>0</v>
      </c>
      <c r="AB113">
        <f t="shared" si="24"/>
        <v>0</v>
      </c>
      <c r="AC113">
        <f t="shared" si="25"/>
        <v>0</v>
      </c>
      <c r="AD113">
        <f t="shared" si="19"/>
        <v>0</v>
      </c>
      <c r="AE113">
        <f t="shared" si="20"/>
        <v>0</v>
      </c>
      <c r="AF113">
        <f t="shared" si="13"/>
        <v>3000000</v>
      </c>
    </row>
    <row r="114" spans="1:32" x14ac:dyDescent="0.35">
      <c r="A114" s="1">
        <v>0</v>
      </c>
      <c r="B114" t="s">
        <v>707</v>
      </c>
      <c r="C114" t="s">
        <v>9</v>
      </c>
      <c r="D114" t="s">
        <v>39</v>
      </c>
      <c r="E114" t="s">
        <v>39</v>
      </c>
      <c r="F114" t="s">
        <v>86</v>
      </c>
      <c r="G114">
        <v>32</v>
      </c>
      <c r="H114" t="s">
        <v>708</v>
      </c>
      <c r="I114">
        <v>-0.29238122701644897</v>
      </c>
      <c r="J114">
        <v>0.2919904887676239</v>
      </c>
      <c r="L114">
        <v>0</v>
      </c>
      <c r="O114" t="s">
        <v>134</v>
      </c>
      <c r="P114">
        <v>1</v>
      </c>
      <c r="Q114">
        <v>8500000</v>
      </c>
      <c r="R114">
        <v>8500000</v>
      </c>
      <c r="S114">
        <f t="shared" si="21"/>
        <v>0</v>
      </c>
      <c r="T114">
        <f t="shared" si="22"/>
        <v>0</v>
      </c>
      <c r="U114">
        <f t="shared" si="14"/>
        <v>1</v>
      </c>
      <c r="V114">
        <v>0</v>
      </c>
      <c r="W114">
        <f t="shared" si="15"/>
        <v>0</v>
      </c>
      <c r="X114">
        <f t="shared" si="16"/>
        <v>0</v>
      </c>
      <c r="Y114">
        <f t="shared" si="17"/>
        <v>0</v>
      </c>
      <c r="Z114">
        <f t="shared" si="18"/>
        <v>0</v>
      </c>
      <c r="AA114">
        <f t="shared" si="23"/>
        <v>0</v>
      </c>
      <c r="AB114">
        <f t="shared" si="24"/>
        <v>0</v>
      </c>
      <c r="AC114">
        <f t="shared" si="25"/>
        <v>0</v>
      </c>
      <c r="AD114">
        <f t="shared" si="19"/>
        <v>0</v>
      </c>
      <c r="AE114">
        <f t="shared" si="20"/>
        <v>0</v>
      </c>
      <c r="AF114">
        <f t="shared" si="13"/>
        <v>8500000</v>
      </c>
    </row>
    <row r="115" spans="1:32" x14ac:dyDescent="0.35">
      <c r="A115" s="1">
        <v>0</v>
      </c>
      <c r="B115" t="s">
        <v>588</v>
      </c>
      <c r="C115" t="s">
        <v>9</v>
      </c>
      <c r="D115" t="s">
        <v>39</v>
      </c>
      <c r="E115" t="s">
        <v>39</v>
      </c>
      <c r="F115" t="s">
        <v>141</v>
      </c>
      <c r="G115">
        <v>33</v>
      </c>
      <c r="H115" t="s">
        <v>589</v>
      </c>
      <c r="I115">
        <v>-2.1173315122723579E-2</v>
      </c>
      <c r="J115">
        <v>0.28041326999664307</v>
      </c>
      <c r="L115">
        <v>0</v>
      </c>
      <c r="O115" t="s">
        <v>141</v>
      </c>
      <c r="P115">
        <v>1</v>
      </c>
      <c r="Q115">
        <v>6000000</v>
      </c>
      <c r="R115">
        <v>5589304</v>
      </c>
      <c r="S115">
        <f t="shared" si="21"/>
        <v>0</v>
      </c>
      <c r="T115">
        <f t="shared" si="22"/>
        <v>0</v>
      </c>
      <c r="U115">
        <f t="shared" si="14"/>
        <v>1</v>
      </c>
      <c r="V115">
        <v>0</v>
      </c>
      <c r="W115">
        <f t="shared" si="15"/>
        <v>0</v>
      </c>
      <c r="X115">
        <f t="shared" si="16"/>
        <v>0</v>
      </c>
      <c r="Y115">
        <f t="shared" si="17"/>
        <v>0</v>
      </c>
      <c r="Z115">
        <f t="shared" si="18"/>
        <v>0</v>
      </c>
      <c r="AA115">
        <f t="shared" si="23"/>
        <v>0</v>
      </c>
      <c r="AB115">
        <f t="shared" si="24"/>
        <v>0</v>
      </c>
      <c r="AC115">
        <f t="shared" si="25"/>
        <v>0</v>
      </c>
      <c r="AD115">
        <f t="shared" si="19"/>
        <v>0</v>
      </c>
      <c r="AE115">
        <f t="shared" si="20"/>
        <v>0</v>
      </c>
      <c r="AF115">
        <f t="shared" si="13"/>
        <v>5589304</v>
      </c>
    </row>
    <row r="116" spans="1:32" x14ac:dyDescent="0.35">
      <c r="A116" s="1">
        <v>0</v>
      </c>
      <c r="B116" t="s">
        <v>530</v>
      </c>
      <c r="C116" t="s">
        <v>9</v>
      </c>
      <c r="D116" t="s">
        <v>33</v>
      </c>
      <c r="E116" t="s">
        <v>39</v>
      </c>
      <c r="F116" t="s">
        <v>48</v>
      </c>
      <c r="G116">
        <v>35</v>
      </c>
      <c r="H116" t="s">
        <v>531</v>
      </c>
      <c r="I116">
        <v>0.12382979691028595</v>
      </c>
      <c r="J116">
        <v>0.27049711346626282</v>
      </c>
      <c r="L116">
        <v>0</v>
      </c>
      <c r="O116" t="s">
        <v>78</v>
      </c>
      <c r="P116">
        <v>1</v>
      </c>
      <c r="Q116">
        <v>2750000</v>
      </c>
      <c r="R116">
        <v>2750000</v>
      </c>
      <c r="S116">
        <f t="shared" si="21"/>
        <v>0</v>
      </c>
      <c r="T116">
        <f t="shared" si="22"/>
        <v>0</v>
      </c>
      <c r="U116">
        <f t="shared" si="14"/>
        <v>1</v>
      </c>
      <c r="V116">
        <v>0</v>
      </c>
      <c r="W116">
        <f t="shared" si="15"/>
        <v>0</v>
      </c>
      <c r="X116">
        <f t="shared" si="16"/>
        <v>0</v>
      </c>
      <c r="Y116">
        <f t="shared" si="17"/>
        <v>0</v>
      </c>
      <c r="Z116">
        <f t="shared" si="18"/>
        <v>0</v>
      </c>
      <c r="AA116">
        <f t="shared" si="23"/>
        <v>0</v>
      </c>
      <c r="AB116">
        <f t="shared" si="24"/>
        <v>0</v>
      </c>
      <c r="AC116">
        <f t="shared" si="25"/>
        <v>0</v>
      </c>
      <c r="AD116">
        <f t="shared" si="19"/>
        <v>0</v>
      </c>
      <c r="AE116">
        <f t="shared" si="20"/>
        <v>0</v>
      </c>
      <c r="AF116">
        <f t="shared" si="13"/>
        <v>2750000</v>
      </c>
    </row>
    <row r="117" spans="1:32" x14ac:dyDescent="0.35">
      <c r="A117" s="1">
        <v>0</v>
      </c>
      <c r="B117" t="s">
        <v>330</v>
      </c>
      <c r="C117" t="s">
        <v>9</v>
      </c>
      <c r="D117" t="s">
        <v>33</v>
      </c>
      <c r="E117" t="s">
        <v>33</v>
      </c>
      <c r="F117" t="s">
        <v>125</v>
      </c>
      <c r="G117">
        <v>31</v>
      </c>
      <c r="H117" t="s">
        <v>331</v>
      </c>
      <c r="I117">
        <v>0.62919342517852783</v>
      </c>
      <c r="J117">
        <v>0.2697654664516449</v>
      </c>
      <c r="L117">
        <v>0</v>
      </c>
      <c r="O117" t="s">
        <v>58</v>
      </c>
      <c r="P117">
        <v>1</v>
      </c>
      <c r="Q117">
        <v>1250000</v>
      </c>
      <c r="R117">
        <v>1250000</v>
      </c>
      <c r="S117">
        <f t="shared" si="21"/>
        <v>0</v>
      </c>
      <c r="T117">
        <f t="shared" si="22"/>
        <v>0</v>
      </c>
      <c r="U117">
        <f t="shared" si="14"/>
        <v>1</v>
      </c>
      <c r="V117">
        <v>0</v>
      </c>
      <c r="W117">
        <f t="shared" si="15"/>
        <v>0</v>
      </c>
      <c r="X117">
        <f t="shared" si="16"/>
        <v>0</v>
      </c>
      <c r="Y117">
        <f t="shared" si="17"/>
        <v>0</v>
      </c>
      <c r="Z117">
        <f t="shared" si="18"/>
        <v>0</v>
      </c>
      <c r="AA117">
        <f t="shared" si="23"/>
        <v>0</v>
      </c>
      <c r="AB117">
        <f t="shared" si="24"/>
        <v>0</v>
      </c>
      <c r="AC117">
        <f t="shared" si="25"/>
        <v>0</v>
      </c>
      <c r="AD117">
        <f t="shared" si="19"/>
        <v>0</v>
      </c>
      <c r="AE117">
        <f t="shared" si="20"/>
        <v>0</v>
      </c>
      <c r="AF117">
        <f t="shared" si="13"/>
        <v>1250000</v>
      </c>
    </row>
    <row r="118" spans="1:32" x14ac:dyDescent="0.35">
      <c r="A118" s="1">
        <v>0</v>
      </c>
      <c r="B118" t="s">
        <v>363</v>
      </c>
      <c r="C118" t="s">
        <v>364</v>
      </c>
      <c r="D118" t="s">
        <v>39</v>
      </c>
      <c r="E118" t="s">
        <v>39</v>
      </c>
      <c r="F118" t="s">
        <v>125</v>
      </c>
      <c r="G118">
        <v>32</v>
      </c>
      <c r="H118" t="s">
        <v>365</v>
      </c>
      <c r="I118">
        <v>0.51880383491516113</v>
      </c>
      <c r="J118">
        <v>0.26601451635360718</v>
      </c>
      <c r="L118">
        <v>0</v>
      </c>
      <c r="O118" t="s">
        <v>46</v>
      </c>
      <c r="P118">
        <v>1</v>
      </c>
      <c r="Q118">
        <v>1000000</v>
      </c>
      <c r="R118">
        <v>1000000</v>
      </c>
      <c r="S118">
        <f t="shared" si="21"/>
        <v>0</v>
      </c>
      <c r="T118">
        <f t="shared" si="22"/>
        <v>0</v>
      </c>
      <c r="U118">
        <f t="shared" si="14"/>
        <v>0</v>
      </c>
      <c r="V118">
        <v>0</v>
      </c>
      <c r="W118">
        <f t="shared" si="15"/>
        <v>1</v>
      </c>
      <c r="X118">
        <f t="shared" si="16"/>
        <v>0</v>
      </c>
      <c r="Y118">
        <f t="shared" si="17"/>
        <v>0</v>
      </c>
      <c r="Z118">
        <f t="shared" si="18"/>
        <v>0</v>
      </c>
      <c r="AA118">
        <f t="shared" si="23"/>
        <v>1</v>
      </c>
      <c r="AB118">
        <f t="shared" si="24"/>
        <v>0</v>
      </c>
      <c r="AC118">
        <f t="shared" si="25"/>
        <v>1</v>
      </c>
      <c r="AD118">
        <f t="shared" si="19"/>
        <v>0</v>
      </c>
      <c r="AE118">
        <f t="shared" si="20"/>
        <v>0</v>
      </c>
      <c r="AF118">
        <f t="shared" si="13"/>
        <v>1000000</v>
      </c>
    </row>
    <row r="119" spans="1:32" x14ac:dyDescent="0.35">
      <c r="A119" s="1">
        <v>0</v>
      </c>
      <c r="B119" t="s">
        <v>257</v>
      </c>
      <c r="C119" t="s">
        <v>9</v>
      </c>
      <c r="D119" t="s">
        <v>33</v>
      </c>
      <c r="E119" t="s">
        <v>33</v>
      </c>
      <c r="F119" t="s">
        <v>40</v>
      </c>
      <c r="G119">
        <v>34</v>
      </c>
      <c r="H119" t="s">
        <v>258</v>
      </c>
      <c r="I119">
        <v>0.89884853363037109</v>
      </c>
      <c r="J119">
        <v>0.25459596514701843</v>
      </c>
      <c r="L119">
        <v>0</v>
      </c>
      <c r="O119" t="s">
        <v>97</v>
      </c>
      <c r="P119">
        <v>1</v>
      </c>
      <c r="Q119">
        <v>2500000</v>
      </c>
      <c r="R119">
        <v>2500000</v>
      </c>
      <c r="S119">
        <f t="shared" si="21"/>
        <v>0</v>
      </c>
      <c r="T119">
        <f t="shared" si="22"/>
        <v>0</v>
      </c>
      <c r="U119">
        <f t="shared" si="14"/>
        <v>1</v>
      </c>
      <c r="V119">
        <v>0</v>
      </c>
      <c r="W119">
        <f t="shared" si="15"/>
        <v>0</v>
      </c>
      <c r="X119">
        <f t="shared" si="16"/>
        <v>0</v>
      </c>
      <c r="Y119">
        <f t="shared" si="17"/>
        <v>0</v>
      </c>
      <c r="Z119">
        <f t="shared" si="18"/>
        <v>0</v>
      </c>
      <c r="AA119">
        <f t="shared" si="23"/>
        <v>0</v>
      </c>
      <c r="AB119">
        <f t="shared" si="24"/>
        <v>0</v>
      </c>
      <c r="AC119">
        <f t="shared" si="25"/>
        <v>0</v>
      </c>
      <c r="AD119">
        <f t="shared" si="19"/>
        <v>0</v>
      </c>
      <c r="AE119">
        <f t="shared" si="20"/>
        <v>0</v>
      </c>
      <c r="AF119">
        <f t="shared" si="13"/>
        <v>2500000</v>
      </c>
    </row>
    <row r="120" spans="1:32" x14ac:dyDescent="0.35">
      <c r="A120" s="1">
        <v>0</v>
      </c>
      <c r="B120" t="s">
        <v>797</v>
      </c>
      <c r="C120" t="s">
        <v>273</v>
      </c>
      <c r="D120" t="s">
        <v>45</v>
      </c>
      <c r="E120" t="s">
        <v>33</v>
      </c>
      <c r="F120" t="s">
        <v>110</v>
      </c>
      <c r="G120">
        <v>26</v>
      </c>
      <c r="H120" t="s">
        <v>798</v>
      </c>
      <c r="I120">
        <v>-1.0943242311477661</v>
      </c>
      <c r="J120">
        <v>0.24424418807029724</v>
      </c>
      <c r="L120">
        <v>0</v>
      </c>
      <c r="O120" t="s">
        <v>56</v>
      </c>
      <c r="P120">
        <v>1</v>
      </c>
      <c r="Q120">
        <v>975000</v>
      </c>
      <c r="R120">
        <v>975000</v>
      </c>
      <c r="S120">
        <f t="shared" si="21"/>
        <v>0</v>
      </c>
      <c r="T120">
        <f t="shared" si="22"/>
        <v>0</v>
      </c>
      <c r="U120">
        <f t="shared" si="14"/>
        <v>0</v>
      </c>
      <c r="V120">
        <v>0</v>
      </c>
      <c r="W120">
        <f t="shared" si="15"/>
        <v>0</v>
      </c>
      <c r="X120">
        <f t="shared" si="16"/>
        <v>0</v>
      </c>
      <c r="Y120">
        <f t="shared" si="17"/>
        <v>0</v>
      </c>
      <c r="Z120">
        <f t="shared" si="18"/>
        <v>0</v>
      </c>
      <c r="AA120">
        <f t="shared" si="23"/>
        <v>1</v>
      </c>
      <c r="AB120">
        <f t="shared" si="24"/>
        <v>1</v>
      </c>
      <c r="AC120">
        <f t="shared" si="25"/>
        <v>1</v>
      </c>
      <c r="AD120">
        <f t="shared" si="19"/>
        <v>0</v>
      </c>
      <c r="AE120">
        <f t="shared" si="20"/>
        <v>0</v>
      </c>
      <c r="AF120">
        <f t="shared" si="13"/>
        <v>975000</v>
      </c>
    </row>
    <row r="121" spans="1:32" x14ac:dyDescent="0.35">
      <c r="A121" s="1">
        <v>0</v>
      </c>
      <c r="B121" t="s">
        <v>459</v>
      </c>
      <c r="C121" t="s">
        <v>334</v>
      </c>
      <c r="D121" t="s">
        <v>39</v>
      </c>
      <c r="E121" t="s">
        <v>39</v>
      </c>
      <c r="F121" t="s">
        <v>34</v>
      </c>
      <c r="G121">
        <v>35</v>
      </c>
      <c r="H121" t="s">
        <v>460</v>
      </c>
      <c r="I121">
        <v>0.26698204874992371</v>
      </c>
      <c r="J121">
        <v>0.24376147985458374</v>
      </c>
      <c r="L121">
        <v>0</v>
      </c>
      <c r="O121" t="s">
        <v>104</v>
      </c>
      <c r="P121">
        <v>1</v>
      </c>
      <c r="Q121">
        <v>2000000</v>
      </c>
      <c r="R121">
        <v>2000000</v>
      </c>
      <c r="S121">
        <f t="shared" si="21"/>
        <v>0</v>
      </c>
      <c r="T121">
        <f t="shared" si="22"/>
        <v>0</v>
      </c>
      <c r="U121">
        <f t="shared" si="14"/>
        <v>0</v>
      </c>
      <c r="V121">
        <v>0</v>
      </c>
      <c r="W121">
        <f t="shared" si="15"/>
        <v>0</v>
      </c>
      <c r="X121">
        <f t="shared" si="16"/>
        <v>1</v>
      </c>
      <c r="Y121">
        <f t="shared" si="17"/>
        <v>1</v>
      </c>
      <c r="Z121">
        <f t="shared" si="18"/>
        <v>1</v>
      </c>
      <c r="AA121">
        <f t="shared" si="23"/>
        <v>1</v>
      </c>
      <c r="AB121">
        <f t="shared" si="24"/>
        <v>1</v>
      </c>
      <c r="AC121">
        <f t="shared" si="25"/>
        <v>1</v>
      </c>
      <c r="AD121">
        <f t="shared" si="19"/>
        <v>1</v>
      </c>
      <c r="AE121">
        <f t="shared" si="20"/>
        <v>0</v>
      </c>
      <c r="AF121">
        <f t="shared" si="13"/>
        <v>2000000</v>
      </c>
    </row>
    <row r="122" spans="1:32" x14ac:dyDescent="0.35">
      <c r="A122" s="1">
        <v>0</v>
      </c>
      <c r="B122" t="s">
        <v>434</v>
      </c>
      <c r="C122" t="s">
        <v>9</v>
      </c>
      <c r="D122" t="s">
        <v>39</v>
      </c>
      <c r="E122" t="s">
        <v>39</v>
      </c>
      <c r="F122" t="s">
        <v>58</v>
      </c>
      <c r="G122">
        <v>35</v>
      </c>
      <c r="H122" t="s">
        <v>435</v>
      </c>
      <c r="I122">
        <v>0.3462543785572052</v>
      </c>
      <c r="J122">
        <v>0.236552894115448</v>
      </c>
      <c r="K122">
        <v>1</v>
      </c>
      <c r="L122">
        <v>6500000</v>
      </c>
      <c r="M122">
        <v>6500000</v>
      </c>
      <c r="O122" t="s">
        <v>102</v>
      </c>
      <c r="P122">
        <v>1</v>
      </c>
      <c r="Q122">
        <v>7000000</v>
      </c>
      <c r="R122">
        <v>7000000</v>
      </c>
      <c r="S122">
        <f t="shared" si="21"/>
        <v>0</v>
      </c>
      <c r="T122">
        <f t="shared" si="22"/>
        <v>0</v>
      </c>
      <c r="U122">
        <f t="shared" si="14"/>
        <v>1</v>
      </c>
      <c r="V122">
        <v>0</v>
      </c>
      <c r="W122">
        <f t="shared" si="15"/>
        <v>0</v>
      </c>
      <c r="X122">
        <f t="shared" si="16"/>
        <v>0</v>
      </c>
      <c r="Y122">
        <f t="shared" si="17"/>
        <v>0</v>
      </c>
      <c r="Z122">
        <f t="shared" si="18"/>
        <v>0</v>
      </c>
      <c r="AA122">
        <f t="shared" si="23"/>
        <v>0</v>
      </c>
      <c r="AB122">
        <f t="shared" si="24"/>
        <v>0</v>
      </c>
      <c r="AC122">
        <f t="shared" si="25"/>
        <v>0</v>
      </c>
      <c r="AD122">
        <f t="shared" si="19"/>
        <v>0</v>
      </c>
      <c r="AE122">
        <f t="shared" si="20"/>
        <v>0</v>
      </c>
      <c r="AF122">
        <f t="shared" si="13"/>
        <v>6500000</v>
      </c>
    </row>
    <row r="123" spans="1:32" x14ac:dyDescent="0.35">
      <c r="A123" s="1">
        <v>0</v>
      </c>
      <c r="B123" t="s">
        <v>627</v>
      </c>
      <c r="C123" t="s">
        <v>9</v>
      </c>
      <c r="D123" t="s">
        <v>39</v>
      </c>
      <c r="E123" t="s">
        <v>39</v>
      </c>
      <c r="F123" t="s">
        <v>48</v>
      </c>
      <c r="G123">
        <v>33</v>
      </c>
      <c r="H123" t="s">
        <v>628</v>
      </c>
      <c r="I123">
        <v>-0.11007146537303925</v>
      </c>
      <c r="J123">
        <v>0.23130252957344055</v>
      </c>
      <c r="L123">
        <v>0</v>
      </c>
      <c r="O123" t="s">
        <v>97</v>
      </c>
      <c r="P123">
        <v>1</v>
      </c>
      <c r="Q123">
        <v>1500000</v>
      </c>
      <c r="R123">
        <v>1500000</v>
      </c>
      <c r="S123">
        <f t="shared" si="21"/>
        <v>0</v>
      </c>
      <c r="T123">
        <f t="shared" si="22"/>
        <v>0</v>
      </c>
      <c r="U123">
        <f t="shared" si="14"/>
        <v>1</v>
      </c>
      <c r="V123">
        <v>0</v>
      </c>
      <c r="W123">
        <f t="shared" si="15"/>
        <v>0</v>
      </c>
      <c r="X123">
        <f t="shared" si="16"/>
        <v>0</v>
      </c>
      <c r="Y123">
        <f t="shared" si="17"/>
        <v>0</v>
      </c>
      <c r="Z123">
        <f t="shared" si="18"/>
        <v>0</v>
      </c>
      <c r="AA123">
        <f t="shared" si="23"/>
        <v>0</v>
      </c>
      <c r="AB123">
        <f t="shared" si="24"/>
        <v>0</v>
      </c>
      <c r="AC123">
        <f t="shared" si="25"/>
        <v>0</v>
      </c>
      <c r="AD123">
        <f t="shared" si="19"/>
        <v>0</v>
      </c>
      <c r="AE123">
        <f t="shared" si="20"/>
        <v>0</v>
      </c>
      <c r="AF123">
        <f t="shared" si="13"/>
        <v>1500000</v>
      </c>
    </row>
    <row r="124" spans="1:32" x14ac:dyDescent="0.35">
      <c r="A124" s="1">
        <v>1</v>
      </c>
      <c r="B124" t="s">
        <v>627</v>
      </c>
      <c r="C124" t="s">
        <v>9</v>
      </c>
      <c r="D124" t="s">
        <v>39</v>
      </c>
      <c r="E124" t="s">
        <v>39</v>
      </c>
      <c r="F124" t="s">
        <v>48</v>
      </c>
      <c r="G124">
        <v>33</v>
      </c>
      <c r="H124" t="s">
        <v>628</v>
      </c>
      <c r="I124">
        <v>-0.11007146537303925</v>
      </c>
      <c r="J124">
        <v>0.23130252957344055</v>
      </c>
      <c r="L124">
        <v>0</v>
      </c>
      <c r="O124" t="s">
        <v>78</v>
      </c>
      <c r="P124">
        <v>1</v>
      </c>
      <c r="Q124">
        <v>265591</v>
      </c>
      <c r="R124">
        <v>265591</v>
      </c>
      <c r="S124">
        <f t="shared" si="21"/>
        <v>0</v>
      </c>
      <c r="T124">
        <f t="shared" si="22"/>
        <v>0</v>
      </c>
      <c r="U124">
        <f t="shared" si="14"/>
        <v>1</v>
      </c>
      <c r="V124">
        <v>0</v>
      </c>
      <c r="W124">
        <f t="shared" si="15"/>
        <v>0</v>
      </c>
      <c r="X124">
        <f t="shared" si="16"/>
        <v>0</v>
      </c>
      <c r="Y124">
        <f t="shared" si="17"/>
        <v>0</v>
      </c>
      <c r="Z124">
        <f t="shared" si="18"/>
        <v>0</v>
      </c>
      <c r="AA124">
        <f t="shared" si="23"/>
        <v>0</v>
      </c>
      <c r="AB124">
        <f t="shared" si="24"/>
        <v>0</v>
      </c>
      <c r="AC124">
        <f t="shared" si="25"/>
        <v>0</v>
      </c>
      <c r="AD124">
        <f t="shared" si="19"/>
        <v>0</v>
      </c>
      <c r="AE124">
        <f t="shared" si="20"/>
        <v>0</v>
      </c>
      <c r="AF124">
        <f t="shared" si="13"/>
        <v>265591</v>
      </c>
    </row>
    <row r="125" spans="1:32" x14ac:dyDescent="0.35">
      <c r="A125" s="1">
        <v>0</v>
      </c>
      <c r="B125" t="s">
        <v>521</v>
      </c>
      <c r="C125" t="s">
        <v>10</v>
      </c>
      <c r="D125" t="s">
        <v>39</v>
      </c>
      <c r="E125" t="s">
        <v>39</v>
      </c>
      <c r="F125" t="s">
        <v>102</v>
      </c>
      <c r="G125">
        <v>38</v>
      </c>
      <c r="H125" t="s">
        <v>522</v>
      </c>
      <c r="I125">
        <v>0.13202005624771118</v>
      </c>
      <c r="J125">
        <v>0.22166724503040314</v>
      </c>
      <c r="L125">
        <v>0</v>
      </c>
      <c r="O125" t="s">
        <v>34</v>
      </c>
      <c r="P125">
        <v>1</v>
      </c>
      <c r="Q125">
        <v>346774</v>
      </c>
      <c r="R125">
        <v>346774</v>
      </c>
      <c r="S125">
        <f t="shared" si="21"/>
        <v>0</v>
      </c>
      <c r="T125">
        <f t="shared" si="22"/>
        <v>1</v>
      </c>
      <c r="U125">
        <f t="shared" si="14"/>
        <v>0</v>
      </c>
      <c r="V125">
        <v>0</v>
      </c>
      <c r="W125">
        <f t="shared" si="15"/>
        <v>0</v>
      </c>
      <c r="X125">
        <f t="shared" si="16"/>
        <v>0</v>
      </c>
      <c r="Y125">
        <f t="shared" si="17"/>
        <v>0</v>
      </c>
      <c r="Z125">
        <f t="shared" si="18"/>
        <v>0</v>
      </c>
      <c r="AA125">
        <f t="shared" si="23"/>
        <v>0</v>
      </c>
      <c r="AB125">
        <f t="shared" si="24"/>
        <v>0</v>
      </c>
      <c r="AC125">
        <f t="shared" si="25"/>
        <v>0</v>
      </c>
      <c r="AD125">
        <f t="shared" si="19"/>
        <v>0</v>
      </c>
      <c r="AE125">
        <f t="shared" si="20"/>
        <v>0</v>
      </c>
      <c r="AF125">
        <f t="shared" si="13"/>
        <v>346774</v>
      </c>
    </row>
    <row r="126" spans="1:32" x14ac:dyDescent="0.35">
      <c r="A126" s="1">
        <v>0</v>
      </c>
      <c r="B126" t="s">
        <v>286</v>
      </c>
      <c r="C126" t="s">
        <v>9</v>
      </c>
      <c r="D126" t="s">
        <v>39</v>
      </c>
      <c r="E126" t="s">
        <v>39</v>
      </c>
      <c r="F126" t="s">
        <v>97</v>
      </c>
      <c r="G126">
        <v>31</v>
      </c>
      <c r="H126" t="s">
        <v>287</v>
      </c>
      <c r="I126">
        <v>0.80759650468826294</v>
      </c>
      <c r="J126">
        <v>0.20117248594760895</v>
      </c>
      <c r="K126">
        <v>2</v>
      </c>
      <c r="L126">
        <v>12000000</v>
      </c>
      <c r="M126">
        <v>6000000</v>
      </c>
      <c r="O126" t="s">
        <v>129</v>
      </c>
      <c r="P126">
        <v>1</v>
      </c>
      <c r="Q126">
        <v>10000000</v>
      </c>
      <c r="R126">
        <v>10000000</v>
      </c>
      <c r="S126">
        <f t="shared" si="21"/>
        <v>0</v>
      </c>
      <c r="T126">
        <f t="shared" si="22"/>
        <v>0</v>
      </c>
      <c r="U126">
        <f t="shared" si="14"/>
        <v>1</v>
      </c>
      <c r="V126">
        <v>0</v>
      </c>
      <c r="W126">
        <f t="shared" si="15"/>
        <v>0</v>
      </c>
      <c r="X126">
        <f t="shared" si="16"/>
        <v>0</v>
      </c>
      <c r="Y126">
        <f t="shared" si="17"/>
        <v>0</v>
      </c>
      <c r="Z126">
        <f t="shared" si="18"/>
        <v>0</v>
      </c>
      <c r="AA126">
        <f t="shared" si="23"/>
        <v>0</v>
      </c>
      <c r="AB126">
        <f t="shared" si="24"/>
        <v>0</v>
      </c>
      <c r="AC126">
        <f t="shared" si="25"/>
        <v>0</v>
      </c>
      <c r="AD126">
        <f t="shared" si="19"/>
        <v>0</v>
      </c>
      <c r="AE126">
        <f t="shared" si="20"/>
        <v>0</v>
      </c>
      <c r="AF126">
        <f t="shared" si="13"/>
        <v>6000000</v>
      </c>
    </row>
    <row r="127" spans="1:32" x14ac:dyDescent="0.35">
      <c r="A127" s="1">
        <v>0</v>
      </c>
      <c r="B127" t="s">
        <v>552</v>
      </c>
      <c r="C127" t="s">
        <v>9</v>
      </c>
      <c r="D127" t="s">
        <v>39</v>
      </c>
      <c r="E127" t="s">
        <v>39</v>
      </c>
      <c r="F127" t="s">
        <v>34</v>
      </c>
      <c r="G127">
        <v>35</v>
      </c>
      <c r="H127" t="s">
        <v>553</v>
      </c>
      <c r="I127">
        <v>5.6362487375736237E-2</v>
      </c>
      <c r="J127">
        <v>0.19918128848075867</v>
      </c>
      <c r="L127">
        <v>0</v>
      </c>
      <c r="O127" t="s">
        <v>78</v>
      </c>
      <c r="P127">
        <v>1</v>
      </c>
      <c r="Q127">
        <v>7750000</v>
      </c>
      <c r="R127">
        <v>7750000</v>
      </c>
      <c r="S127">
        <f t="shared" si="21"/>
        <v>0</v>
      </c>
      <c r="T127">
        <f t="shared" si="22"/>
        <v>0</v>
      </c>
      <c r="U127">
        <f t="shared" si="14"/>
        <v>1</v>
      </c>
      <c r="V127">
        <v>0</v>
      </c>
      <c r="W127">
        <f t="shared" si="15"/>
        <v>0</v>
      </c>
      <c r="X127">
        <f t="shared" si="16"/>
        <v>0</v>
      </c>
      <c r="Y127">
        <f t="shared" si="17"/>
        <v>0</v>
      </c>
      <c r="Z127">
        <f t="shared" si="18"/>
        <v>0</v>
      </c>
      <c r="AA127">
        <f t="shared" si="23"/>
        <v>0</v>
      </c>
      <c r="AB127">
        <f t="shared" si="24"/>
        <v>0</v>
      </c>
      <c r="AC127">
        <f t="shared" si="25"/>
        <v>0</v>
      </c>
      <c r="AD127">
        <f t="shared" si="19"/>
        <v>0</v>
      </c>
      <c r="AE127">
        <f t="shared" si="20"/>
        <v>0</v>
      </c>
      <c r="AF127">
        <f t="shared" si="13"/>
        <v>7750000</v>
      </c>
    </row>
    <row r="128" spans="1:32" x14ac:dyDescent="0.35">
      <c r="A128" s="1">
        <v>0</v>
      </c>
      <c r="B128" t="s">
        <v>550</v>
      </c>
      <c r="C128" t="s">
        <v>9</v>
      </c>
      <c r="D128" t="s">
        <v>33</v>
      </c>
      <c r="E128" t="s">
        <v>33</v>
      </c>
      <c r="F128" t="s">
        <v>129</v>
      </c>
      <c r="G128">
        <v>35</v>
      </c>
      <c r="H128" t="s">
        <v>192</v>
      </c>
      <c r="I128">
        <v>7.9370364546775818E-2</v>
      </c>
      <c r="J128">
        <v>0.19732068479061127</v>
      </c>
      <c r="L128">
        <v>0</v>
      </c>
      <c r="O128" t="s">
        <v>254</v>
      </c>
      <c r="P128">
        <v>1</v>
      </c>
      <c r="Q128">
        <v>2000000</v>
      </c>
      <c r="R128">
        <v>2000000</v>
      </c>
      <c r="S128">
        <f t="shared" si="21"/>
        <v>0</v>
      </c>
      <c r="T128">
        <f t="shared" si="22"/>
        <v>0</v>
      </c>
      <c r="U128">
        <f t="shared" si="14"/>
        <v>1</v>
      </c>
      <c r="V128">
        <v>0</v>
      </c>
      <c r="W128">
        <f t="shared" si="15"/>
        <v>0</v>
      </c>
      <c r="X128">
        <f t="shared" si="16"/>
        <v>0</v>
      </c>
      <c r="Y128">
        <f t="shared" si="17"/>
        <v>0</v>
      </c>
      <c r="Z128">
        <f t="shared" si="18"/>
        <v>0</v>
      </c>
      <c r="AA128">
        <f t="shared" si="23"/>
        <v>0</v>
      </c>
      <c r="AB128">
        <f t="shared" si="24"/>
        <v>0</v>
      </c>
      <c r="AC128">
        <f t="shared" si="25"/>
        <v>0</v>
      </c>
      <c r="AD128">
        <f t="shared" si="19"/>
        <v>0</v>
      </c>
      <c r="AE128">
        <f t="shared" si="20"/>
        <v>0</v>
      </c>
      <c r="AF128">
        <f t="shared" si="13"/>
        <v>2000000</v>
      </c>
    </row>
    <row r="129" spans="1:32" x14ac:dyDescent="0.35">
      <c r="A129" s="1">
        <v>0</v>
      </c>
      <c r="B129" t="s">
        <v>785</v>
      </c>
      <c r="C129" t="s">
        <v>9</v>
      </c>
      <c r="D129" t="s">
        <v>39</v>
      </c>
      <c r="E129" t="s">
        <v>39</v>
      </c>
      <c r="F129" t="s">
        <v>151</v>
      </c>
      <c r="G129">
        <v>29</v>
      </c>
      <c r="H129" t="s">
        <v>786</v>
      </c>
      <c r="I129">
        <v>-0.96331673860549927</v>
      </c>
      <c r="J129">
        <v>0.19612075388431549</v>
      </c>
      <c r="L129">
        <v>0</v>
      </c>
      <c r="O129" t="s">
        <v>48</v>
      </c>
      <c r="P129">
        <v>1</v>
      </c>
      <c r="Q129">
        <v>1400000</v>
      </c>
      <c r="R129">
        <v>1400000</v>
      </c>
      <c r="S129">
        <f t="shared" si="21"/>
        <v>0</v>
      </c>
      <c r="T129">
        <f t="shared" si="22"/>
        <v>0</v>
      </c>
      <c r="U129">
        <f t="shared" si="14"/>
        <v>1</v>
      </c>
      <c r="V129">
        <v>0</v>
      </c>
      <c r="W129">
        <f t="shared" si="15"/>
        <v>0</v>
      </c>
      <c r="X129">
        <f t="shared" si="16"/>
        <v>0</v>
      </c>
      <c r="Y129">
        <f t="shared" si="17"/>
        <v>0</v>
      </c>
      <c r="Z129">
        <f t="shared" si="18"/>
        <v>0</v>
      </c>
      <c r="AA129">
        <f t="shared" si="23"/>
        <v>0</v>
      </c>
      <c r="AB129">
        <f t="shared" si="24"/>
        <v>0</v>
      </c>
      <c r="AC129">
        <f t="shared" si="25"/>
        <v>0</v>
      </c>
      <c r="AD129">
        <f t="shared" si="19"/>
        <v>0</v>
      </c>
      <c r="AE129">
        <f t="shared" si="20"/>
        <v>0</v>
      </c>
      <c r="AF129">
        <f t="shared" si="13"/>
        <v>1400000</v>
      </c>
    </row>
    <row r="130" spans="1:32" x14ac:dyDescent="0.35">
      <c r="A130" s="1">
        <v>0</v>
      </c>
      <c r="B130" t="s">
        <v>490</v>
      </c>
      <c r="C130" t="s">
        <v>9</v>
      </c>
      <c r="D130" t="s">
        <v>39</v>
      </c>
      <c r="E130" t="s">
        <v>39</v>
      </c>
      <c r="F130" t="s">
        <v>104</v>
      </c>
      <c r="G130">
        <v>32</v>
      </c>
      <c r="H130" t="s">
        <v>491</v>
      </c>
      <c r="I130">
        <v>0.20318952202796936</v>
      </c>
      <c r="J130">
        <v>0.18711018562316895</v>
      </c>
      <c r="L130">
        <v>0</v>
      </c>
      <c r="O130" t="s">
        <v>141</v>
      </c>
      <c r="P130">
        <v>1</v>
      </c>
      <c r="Q130">
        <v>3000000</v>
      </c>
      <c r="R130">
        <v>3000000</v>
      </c>
      <c r="S130">
        <f t="shared" si="21"/>
        <v>0</v>
      </c>
      <c r="T130">
        <f t="shared" si="22"/>
        <v>0</v>
      </c>
      <c r="U130">
        <f t="shared" si="14"/>
        <v>1</v>
      </c>
      <c r="V130">
        <v>0</v>
      </c>
      <c r="W130">
        <f t="shared" si="15"/>
        <v>0</v>
      </c>
      <c r="X130">
        <f t="shared" si="16"/>
        <v>0</v>
      </c>
      <c r="Y130">
        <f t="shared" si="17"/>
        <v>0</v>
      </c>
      <c r="Z130">
        <f t="shared" si="18"/>
        <v>0</v>
      </c>
      <c r="AA130">
        <f t="shared" si="23"/>
        <v>0</v>
      </c>
      <c r="AB130">
        <f t="shared" si="24"/>
        <v>0</v>
      </c>
      <c r="AC130">
        <f t="shared" si="25"/>
        <v>0</v>
      </c>
      <c r="AD130">
        <f t="shared" si="19"/>
        <v>0</v>
      </c>
      <c r="AE130">
        <f t="shared" si="20"/>
        <v>0</v>
      </c>
      <c r="AF130">
        <f t="shared" si="13"/>
        <v>3000000</v>
      </c>
    </row>
    <row r="131" spans="1:32" x14ac:dyDescent="0.35">
      <c r="A131" s="1">
        <v>0</v>
      </c>
      <c r="B131" t="s">
        <v>558</v>
      </c>
      <c r="C131" t="s">
        <v>9</v>
      </c>
      <c r="D131" t="s">
        <v>39</v>
      </c>
      <c r="E131" t="s">
        <v>39</v>
      </c>
      <c r="F131" t="s">
        <v>102</v>
      </c>
      <c r="G131">
        <v>32</v>
      </c>
      <c r="H131" t="s">
        <v>559</v>
      </c>
      <c r="I131">
        <v>4.1170444339513779E-2</v>
      </c>
      <c r="J131">
        <v>0.18623954057693481</v>
      </c>
      <c r="K131">
        <v>1</v>
      </c>
      <c r="L131">
        <v>4000000</v>
      </c>
      <c r="M131">
        <v>4000000</v>
      </c>
      <c r="O131" t="s">
        <v>70</v>
      </c>
      <c r="P131">
        <v>1</v>
      </c>
      <c r="Q131">
        <v>2500000</v>
      </c>
      <c r="R131">
        <v>2500000</v>
      </c>
      <c r="S131">
        <f t="shared" si="21"/>
        <v>0</v>
      </c>
      <c r="T131">
        <f t="shared" si="22"/>
        <v>0</v>
      </c>
      <c r="U131">
        <f t="shared" si="14"/>
        <v>1</v>
      </c>
      <c r="V131">
        <v>0</v>
      </c>
      <c r="W131">
        <f t="shared" si="15"/>
        <v>0</v>
      </c>
      <c r="X131">
        <f t="shared" si="16"/>
        <v>0</v>
      </c>
      <c r="Y131">
        <f t="shared" si="17"/>
        <v>0</v>
      </c>
      <c r="Z131">
        <f t="shared" si="18"/>
        <v>0</v>
      </c>
      <c r="AA131">
        <f t="shared" si="23"/>
        <v>0</v>
      </c>
      <c r="AB131">
        <f t="shared" si="24"/>
        <v>0</v>
      </c>
      <c r="AC131">
        <f t="shared" si="25"/>
        <v>0</v>
      </c>
      <c r="AD131">
        <f t="shared" si="19"/>
        <v>0</v>
      </c>
      <c r="AE131">
        <f t="shared" si="20"/>
        <v>0</v>
      </c>
      <c r="AF131">
        <f t="shared" si="13"/>
        <v>4000000</v>
      </c>
    </row>
    <row r="132" spans="1:32" x14ac:dyDescent="0.35">
      <c r="A132" s="1">
        <v>0</v>
      </c>
      <c r="B132" t="s">
        <v>212</v>
      </c>
      <c r="C132" t="s">
        <v>10</v>
      </c>
      <c r="D132" t="s">
        <v>33</v>
      </c>
      <c r="E132" t="s">
        <v>33</v>
      </c>
      <c r="F132" t="s">
        <v>62</v>
      </c>
      <c r="G132">
        <v>28</v>
      </c>
      <c r="H132" t="s">
        <v>213</v>
      </c>
      <c r="I132">
        <v>1.2016021013259888</v>
      </c>
      <c r="J132">
        <v>0.18469195067882538</v>
      </c>
      <c r="L132">
        <v>0</v>
      </c>
      <c r="O132" t="s">
        <v>53</v>
      </c>
      <c r="P132">
        <v>2</v>
      </c>
      <c r="Q132">
        <v>18250000</v>
      </c>
      <c r="R132">
        <v>9125000</v>
      </c>
      <c r="S132">
        <f t="shared" si="21"/>
        <v>0</v>
      </c>
      <c r="T132">
        <f t="shared" si="22"/>
        <v>1</v>
      </c>
      <c r="U132">
        <f t="shared" si="14"/>
        <v>0</v>
      </c>
      <c r="V132">
        <v>0</v>
      </c>
      <c r="W132">
        <f t="shared" si="15"/>
        <v>0</v>
      </c>
      <c r="X132">
        <f t="shared" si="16"/>
        <v>0</v>
      </c>
      <c r="Y132">
        <f t="shared" si="17"/>
        <v>0</v>
      </c>
      <c r="Z132">
        <f t="shared" si="18"/>
        <v>0</v>
      </c>
      <c r="AA132">
        <f t="shared" si="23"/>
        <v>0</v>
      </c>
      <c r="AB132">
        <f t="shared" si="24"/>
        <v>0</v>
      </c>
      <c r="AC132">
        <f t="shared" si="25"/>
        <v>0</v>
      </c>
      <c r="AD132">
        <f t="shared" si="19"/>
        <v>0</v>
      </c>
      <c r="AE132">
        <f t="shared" si="20"/>
        <v>0</v>
      </c>
      <c r="AF132">
        <f t="shared" si="13"/>
        <v>9125000</v>
      </c>
    </row>
    <row r="133" spans="1:32" x14ac:dyDescent="0.35">
      <c r="A133" s="1">
        <v>0</v>
      </c>
      <c r="B133" t="s">
        <v>327</v>
      </c>
      <c r="C133" t="s">
        <v>116</v>
      </c>
      <c r="D133" t="s">
        <v>39</v>
      </c>
      <c r="E133" t="s">
        <v>39</v>
      </c>
      <c r="F133" t="s">
        <v>62</v>
      </c>
      <c r="G133">
        <v>36</v>
      </c>
      <c r="H133" t="s">
        <v>328</v>
      </c>
      <c r="I133">
        <v>0.6507299542427063</v>
      </c>
      <c r="J133">
        <v>0.1700701117515564</v>
      </c>
      <c r="L133">
        <v>0</v>
      </c>
      <c r="O133" t="s">
        <v>97</v>
      </c>
      <c r="P133">
        <v>1</v>
      </c>
      <c r="Q133">
        <v>1000000</v>
      </c>
      <c r="R133">
        <v>1000000</v>
      </c>
      <c r="S133">
        <f t="shared" si="21"/>
        <v>0</v>
      </c>
      <c r="T133">
        <f t="shared" si="22"/>
        <v>0</v>
      </c>
      <c r="U133">
        <f t="shared" si="14"/>
        <v>0</v>
      </c>
      <c r="V133">
        <v>0</v>
      </c>
      <c r="W133">
        <f t="shared" si="15"/>
        <v>0</v>
      </c>
      <c r="X133">
        <f t="shared" si="16"/>
        <v>0</v>
      </c>
      <c r="Y133">
        <f t="shared" si="17"/>
        <v>0</v>
      </c>
      <c r="Z133">
        <f t="shared" si="18"/>
        <v>0</v>
      </c>
      <c r="AA133">
        <f t="shared" si="23"/>
        <v>1</v>
      </c>
      <c r="AB133">
        <f t="shared" si="24"/>
        <v>1</v>
      </c>
      <c r="AC133">
        <f t="shared" si="25"/>
        <v>1</v>
      </c>
      <c r="AD133">
        <f t="shared" si="19"/>
        <v>0</v>
      </c>
      <c r="AE133">
        <f t="shared" si="20"/>
        <v>0</v>
      </c>
      <c r="AF133">
        <f t="shared" si="13"/>
        <v>1000000</v>
      </c>
    </row>
    <row r="134" spans="1:32" x14ac:dyDescent="0.35">
      <c r="A134" s="1">
        <v>0</v>
      </c>
      <c r="B134" t="s">
        <v>462</v>
      </c>
      <c r="C134" t="s">
        <v>9</v>
      </c>
      <c r="D134" t="s">
        <v>39</v>
      </c>
      <c r="E134" t="s">
        <v>39</v>
      </c>
      <c r="F134" t="s">
        <v>53</v>
      </c>
      <c r="G134">
        <v>38</v>
      </c>
      <c r="H134" t="s">
        <v>463</v>
      </c>
      <c r="I134">
        <v>0.26689878106117249</v>
      </c>
      <c r="J134">
        <v>0.16752976179122925</v>
      </c>
      <c r="K134">
        <v>1</v>
      </c>
      <c r="L134">
        <v>3000000</v>
      </c>
      <c r="M134">
        <v>3000000</v>
      </c>
      <c r="O134" t="s">
        <v>66</v>
      </c>
      <c r="P134">
        <v>1</v>
      </c>
      <c r="Q134">
        <v>1500000</v>
      </c>
      <c r="R134">
        <v>1500000</v>
      </c>
      <c r="S134">
        <f t="shared" si="21"/>
        <v>0</v>
      </c>
      <c r="T134">
        <f t="shared" si="22"/>
        <v>0</v>
      </c>
      <c r="U134">
        <f t="shared" si="14"/>
        <v>1</v>
      </c>
      <c r="V134">
        <v>0</v>
      </c>
      <c r="W134">
        <f t="shared" si="15"/>
        <v>0</v>
      </c>
      <c r="X134">
        <f t="shared" si="16"/>
        <v>0</v>
      </c>
      <c r="Y134">
        <f t="shared" si="17"/>
        <v>0</v>
      </c>
      <c r="Z134">
        <f t="shared" si="18"/>
        <v>0</v>
      </c>
      <c r="AA134">
        <f t="shared" si="23"/>
        <v>0</v>
      </c>
      <c r="AB134">
        <f t="shared" si="24"/>
        <v>0</v>
      </c>
      <c r="AC134">
        <f t="shared" si="25"/>
        <v>0</v>
      </c>
      <c r="AD134">
        <f t="shared" si="19"/>
        <v>0</v>
      </c>
      <c r="AE134">
        <f t="shared" si="20"/>
        <v>0</v>
      </c>
      <c r="AF134">
        <f t="shared" si="13"/>
        <v>3000000</v>
      </c>
    </row>
    <row r="135" spans="1:32" x14ac:dyDescent="0.35">
      <c r="A135" s="1">
        <v>0</v>
      </c>
      <c r="B135" t="s">
        <v>462</v>
      </c>
      <c r="C135" t="s">
        <v>9</v>
      </c>
      <c r="D135" t="s">
        <v>39</v>
      </c>
      <c r="E135" t="s">
        <v>39</v>
      </c>
      <c r="F135" t="s">
        <v>53</v>
      </c>
      <c r="G135">
        <v>38</v>
      </c>
      <c r="H135" t="s">
        <v>463</v>
      </c>
      <c r="I135">
        <v>0.26689878106117249</v>
      </c>
      <c r="J135">
        <v>0.16752976179122925</v>
      </c>
      <c r="K135">
        <v>1</v>
      </c>
      <c r="L135">
        <v>3000000</v>
      </c>
      <c r="M135">
        <v>3000000</v>
      </c>
      <c r="O135" t="s">
        <v>141</v>
      </c>
      <c r="P135">
        <v>1</v>
      </c>
      <c r="Q135">
        <v>339140</v>
      </c>
      <c r="R135">
        <v>339140</v>
      </c>
      <c r="S135">
        <f t="shared" si="21"/>
        <v>0</v>
      </c>
      <c r="T135">
        <f t="shared" si="22"/>
        <v>0</v>
      </c>
      <c r="U135">
        <f t="shared" si="14"/>
        <v>1</v>
      </c>
      <c r="V135">
        <v>0</v>
      </c>
      <c r="W135">
        <f t="shared" si="15"/>
        <v>0</v>
      </c>
      <c r="X135">
        <f t="shared" si="16"/>
        <v>0</v>
      </c>
      <c r="Y135">
        <f t="shared" si="17"/>
        <v>0</v>
      </c>
      <c r="Z135">
        <f t="shared" si="18"/>
        <v>0</v>
      </c>
      <c r="AA135">
        <f t="shared" si="23"/>
        <v>0</v>
      </c>
      <c r="AB135">
        <f t="shared" si="24"/>
        <v>0</v>
      </c>
      <c r="AC135">
        <f t="shared" si="25"/>
        <v>0</v>
      </c>
      <c r="AD135">
        <f t="shared" si="19"/>
        <v>0</v>
      </c>
      <c r="AE135">
        <f t="shared" si="20"/>
        <v>0</v>
      </c>
      <c r="AF135">
        <f t="shared" si="13"/>
        <v>3000000</v>
      </c>
    </row>
    <row r="136" spans="1:32" x14ac:dyDescent="0.35">
      <c r="A136" s="1">
        <v>0</v>
      </c>
      <c r="B136" t="s">
        <v>591</v>
      </c>
      <c r="C136" t="s">
        <v>9</v>
      </c>
      <c r="D136" t="s">
        <v>39</v>
      </c>
      <c r="E136" t="s">
        <v>39</v>
      </c>
      <c r="F136" t="s">
        <v>36</v>
      </c>
      <c r="G136">
        <v>33</v>
      </c>
      <c r="H136" t="s">
        <v>592</v>
      </c>
      <c r="I136">
        <v>-3.0892983078956604E-2</v>
      </c>
      <c r="J136">
        <v>0.16131676733493805</v>
      </c>
      <c r="L136">
        <v>0</v>
      </c>
      <c r="O136" t="s">
        <v>36</v>
      </c>
      <c r="P136">
        <v>1</v>
      </c>
      <c r="Q136">
        <v>4500000</v>
      </c>
      <c r="R136">
        <v>4500000</v>
      </c>
      <c r="S136">
        <f t="shared" si="21"/>
        <v>0</v>
      </c>
      <c r="T136">
        <f t="shared" si="22"/>
        <v>0</v>
      </c>
      <c r="U136">
        <f t="shared" si="14"/>
        <v>1</v>
      </c>
      <c r="V136">
        <v>0</v>
      </c>
      <c r="W136">
        <f t="shared" si="15"/>
        <v>0</v>
      </c>
      <c r="X136">
        <f t="shared" si="16"/>
        <v>0</v>
      </c>
      <c r="Y136">
        <f t="shared" si="17"/>
        <v>0</v>
      </c>
      <c r="Z136">
        <f t="shared" si="18"/>
        <v>0</v>
      </c>
      <c r="AA136">
        <f t="shared" si="23"/>
        <v>0</v>
      </c>
      <c r="AB136">
        <f t="shared" si="24"/>
        <v>0</v>
      </c>
      <c r="AC136">
        <f t="shared" si="25"/>
        <v>0</v>
      </c>
      <c r="AD136">
        <f t="shared" si="19"/>
        <v>0</v>
      </c>
      <c r="AE136">
        <f t="shared" si="20"/>
        <v>0</v>
      </c>
      <c r="AF136">
        <f t="shared" si="13"/>
        <v>4500000</v>
      </c>
    </row>
    <row r="137" spans="1:32" x14ac:dyDescent="0.35">
      <c r="A137" s="1">
        <v>0</v>
      </c>
      <c r="B137" t="s">
        <v>541</v>
      </c>
      <c r="C137" t="s">
        <v>542</v>
      </c>
      <c r="D137" t="s">
        <v>33</v>
      </c>
      <c r="E137" t="s">
        <v>39</v>
      </c>
      <c r="F137" t="s">
        <v>48</v>
      </c>
      <c r="G137">
        <v>30</v>
      </c>
      <c r="H137" t="s">
        <v>543</v>
      </c>
      <c r="I137">
        <v>0.10460204631090164</v>
      </c>
      <c r="J137">
        <v>0.14902991056442261</v>
      </c>
      <c r="L137">
        <v>0</v>
      </c>
      <c r="O137" t="s">
        <v>81</v>
      </c>
      <c r="P137">
        <v>1</v>
      </c>
      <c r="Q137">
        <v>2000000</v>
      </c>
      <c r="R137">
        <v>2000000</v>
      </c>
      <c r="S137">
        <f t="shared" si="21"/>
        <v>0</v>
      </c>
      <c r="T137">
        <f t="shared" si="22"/>
        <v>0</v>
      </c>
      <c r="U137">
        <f t="shared" si="14"/>
        <v>0</v>
      </c>
      <c r="V137">
        <v>0</v>
      </c>
      <c r="W137">
        <f t="shared" si="15"/>
        <v>0</v>
      </c>
      <c r="X137">
        <f t="shared" si="16"/>
        <v>1</v>
      </c>
      <c r="Y137">
        <f t="shared" si="17"/>
        <v>0</v>
      </c>
      <c r="Z137">
        <f t="shared" si="18"/>
        <v>1</v>
      </c>
      <c r="AA137">
        <f t="shared" si="23"/>
        <v>1</v>
      </c>
      <c r="AB137">
        <f t="shared" si="24"/>
        <v>0</v>
      </c>
      <c r="AC137">
        <f t="shared" si="25"/>
        <v>1</v>
      </c>
      <c r="AD137">
        <f t="shared" si="19"/>
        <v>0</v>
      </c>
      <c r="AE137">
        <f t="shared" si="20"/>
        <v>0</v>
      </c>
      <c r="AF137">
        <f t="shared" si="13"/>
        <v>2000000</v>
      </c>
    </row>
    <row r="138" spans="1:32" x14ac:dyDescent="0.35">
      <c r="A138" s="1">
        <v>1</v>
      </c>
      <c r="B138" t="s">
        <v>396</v>
      </c>
      <c r="C138" t="s">
        <v>9</v>
      </c>
      <c r="D138" t="s">
        <v>45</v>
      </c>
      <c r="E138" t="s">
        <v>39</v>
      </c>
      <c r="F138" t="s">
        <v>36</v>
      </c>
      <c r="G138">
        <v>39</v>
      </c>
      <c r="H138" t="s">
        <v>397</v>
      </c>
      <c r="I138">
        <v>0.45945456624031067</v>
      </c>
      <c r="J138">
        <v>0.14225183427333832</v>
      </c>
      <c r="L138">
        <v>0</v>
      </c>
      <c r="O138" t="s">
        <v>34</v>
      </c>
      <c r="P138">
        <v>1</v>
      </c>
      <c r="Q138">
        <v>53763</v>
      </c>
      <c r="R138">
        <v>53763</v>
      </c>
      <c r="S138">
        <f t="shared" si="21"/>
        <v>0</v>
      </c>
      <c r="T138">
        <f t="shared" si="22"/>
        <v>0</v>
      </c>
      <c r="U138">
        <f t="shared" si="14"/>
        <v>1</v>
      </c>
      <c r="V138">
        <v>0</v>
      </c>
      <c r="W138">
        <f t="shared" si="15"/>
        <v>0</v>
      </c>
      <c r="X138">
        <f t="shared" si="16"/>
        <v>0</v>
      </c>
      <c r="Y138">
        <f t="shared" si="17"/>
        <v>0</v>
      </c>
      <c r="Z138">
        <f t="shared" si="18"/>
        <v>0</v>
      </c>
      <c r="AA138">
        <f t="shared" si="23"/>
        <v>0</v>
      </c>
      <c r="AB138">
        <f t="shared" si="24"/>
        <v>0</v>
      </c>
      <c r="AC138">
        <f t="shared" si="25"/>
        <v>0</v>
      </c>
      <c r="AD138">
        <f t="shared" si="19"/>
        <v>0</v>
      </c>
      <c r="AE138">
        <f t="shared" si="20"/>
        <v>0</v>
      </c>
      <c r="AF138">
        <f t="shared" si="13"/>
        <v>53763</v>
      </c>
    </row>
    <row r="139" spans="1:32" x14ac:dyDescent="0.35">
      <c r="A139" s="1">
        <v>0</v>
      </c>
      <c r="B139" t="s">
        <v>403</v>
      </c>
      <c r="C139" t="s">
        <v>9</v>
      </c>
      <c r="D139" t="s">
        <v>39</v>
      </c>
      <c r="E139" t="s">
        <v>33</v>
      </c>
      <c r="F139" t="s">
        <v>97</v>
      </c>
      <c r="G139">
        <v>35</v>
      </c>
      <c r="H139" t="s">
        <v>404</v>
      </c>
      <c r="I139">
        <v>0.42827689647674561</v>
      </c>
      <c r="J139">
        <v>0.13597886264324188</v>
      </c>
      <c r="L139">
        <v>0</v>
      </c>
      <c r="O139" t="s">
        <v>141</v>
      </c>
      <c r="P139">
        <v>1</v>
      </c>
      <c r="Q139">
        <v>1000000</v>
      </c>
      <c r="R139">
        <v>1000000</v>
      </c>
      <c r="S139">
        <f t="shared" si="21"/>
        <v>0</v>
      </c>
      <c r="T139">
        <f t="shared" si="22"/>
        <v>0</v>
      </c>
      <c r="U139">
        <f t="shared" si="14"/>
        <v>1</v>
      </c>
      <c r="V139">
        <v>0</v>
      </c>
      <c r="W139">
        <f t="shared" si="15"/>
        <v>0</v>
      </c>
      <c r="X139">
        <f t="shared" si="16"/>
        <v>0</v>
      </c>
      <c r="Y139">
        <f t="shared" si="17"/>
        <v>0</v>
      </c>
      <c r="Z139">
        <f t="shared" si="18"/>
        <v>0</v>
      </c>
      <c r="AA139">
        <f t="shared" si="23"/>
        <v>0</v>
      </c>
      <c r="AB139">
        <f t="shared" si="24"/>
        <v>0</v>
      </c>
      <c r="AC139">
        <f t="shared" si="25"/>
        <v>0</v>
      </c>
      <c r="AD139">
        <f t="shared" si="19"/>
        <v>0</v>
      </c>
      <c r="AE139">
        <f t="shared" si="20"/>
        <v>0</v>
      </c>
      <c r="AF139">
        <f t="shared" si="13"/>
        <v>1000000</v>
      </c>
    </row>
    <row r="140" spans="1:32" x14ac:dyDescent="0.35">
      <c r="A140" s="1">
        <v>0</v>
      </c>
      <c r="B140" t="s">
        <v>425</v>
      </c>
      <c r="C140" t="s">
        <v>3</v>
      </c>
      <c r="D140" t="s">
        <v>39</v>
      </c>
      <c r="E140" t="s">
        <v>39</v>
      </c>
      <c r="F140" t="s">
        <v>70</v>
      </c>
      <c r="G140">
        <v>34</v>
      </c>
      <c r="H140" t="s">
        <v>426</v>
      </c>
      <c r="I140">
        <v>0.36488145589828491</v>
      </c>
      <c r="J140">
        <v>0.13363847136497498</v>
      </c>
      <c r="L140">
        <v>0</v>
      </c>
      <c r="O140" t="s">
        <v>70</v>
      </c>
      <c r="P140">
        <v>1</v>
      </c>
      <c r="Q140">
        <v>1100000</v>
      </c>
      <c r="R140">
        <v>1100000</v>
      </c>
      <c r="S140">
        <f t="shared" si="21"/>
        <v>0</v>
      </c>
      <c r="T140">
        <f t="shared" si="22"/>
        <v>0</v>
      </c>
      <c r="U140">
        <f t="shared" si="14"/>
        <v>0</v>
      </c>
      <c r="V140">
        <v>1</v>
      </c>
      <c r="W140">
        <f t="shared" si="15"/>
        <v>0</v>
      </c>
      <c r="X140">
        <f t="shared" si="16"/>
        <v>0</v>
      </c>
      <c r="Y140">
        <f t="shared" si="17"/>
        <v>0</v>
      </c>
      <c r="Z140">
        <f t="shared" si="18"/>
        <v>0</v>
      </c>
      <c r="AA140">
        <f t="shared" si="23"/>
        <v>0</v>
      </c>
      <c r="AB140">
        <f t="shared" si="24"/>
        <v>0</v>
      </c>
      <c r="AC140">
        <f t="shared" si="25"/>
        <v>0</v>
      </c>
      <c r="AD140">
        <f t="shared" si="19"/>
        <v>0</v>
      </c>
      <c r="AE140">
        <f t="shared" si="20"/>
        <v>0</v>
      </c>
      <c r="AF140">
        <f t="shared" si="13"/>
        <v>1100000</v>
      </c>
    </row>
    <row r="141" spans="1:32" x14ac:dyDescent="0.35">
      <c r="A141" s="1">
        <v>0</v>
      </c>
      <c r="B141" t="s">
        <v>739</v>
      </c>
      <c r="C141" t="s">
        <v>740</v>
      </c>
      <c r="D141" t="s">
        <v>33</v>
      </c>
      <c r="E141" t="s">
        <v>39</v>
      </c>
      <c r="F141" t="s">
        <v>81</v>
      </c>
      <c r="G141">
        <v>33</v>
      </c>
      <c r="H141" t="s">
        <v>741</v>
      </c>
      <c r="I141">
        <v>-0.51940852403640747</v>
      </c>
      <c r="J141">
        <v>0.12648271024227142</v>
      </c>
      <c r="L141">
        <v>0</v>
      </c>
      <c r="O141" t="s">
        <v>125</v>
      </c>
      <c r="P141">
        <v>1</v>
      </c>
      <c r="Q141">
        <v>1525000</v>
      </c>
      <c r="R141">
        <v>1525000</v>
      </c>
      <c r="S141">
        <f t="shared" si="21"/>
        <v>0</v>
      </c>
      <c r="T141">
        <f t="shared" si="22"/>
        <v>0</v>
      </c>
      <c r="U141">
        <f t="shared" si="14"/>
        <v>0</v>
      </c>
      <c r="V141">
        <v>0</v>
      </c>
      <c r="W141">
        <f t="shared" si="15"/>
        <v>0</v>
      </c>
      <c r="X141">
        <f t="shared" si="16"/>
        <v>1</v>
      </c>
      <c r="Y141">
        <f t="shared" si="17"/>
        <v>0</v>
      </c>
      <c r="Z141">
        <f t="shared" si="18"/>
        <v>0</v>
      </c>
      <c r="AA141">
        <f t="shared" si="23"/>
        <v>1</v>
      </c>
      <c r="AB141">
        <f t="shared" si="24"/>
        <v>0</v>
      </c>
      <c r="AC141">
        <f t="shared" si="25"/>
        <v>1</v>
      </c>
      <c r="AD141">
        <f t="shared" si="19"/>
        <v>0</v>
      </c>
      <c r="AE141">
        <f t="shared" si="20"/>
        <v>0</v>
      </c>
      <c r="AF141">
        <f t="shared" si="13"/>
        <v>1525000</v>
      </c>
    </row>
    <row r="142" spans="1:32" x14ac:dyDescent="0.35">
      <c r="A142" s="1">
        <v>0</v>
      </c>
      <c r="B142" t="s">
        <v>447</v>
      </c>
      <c r="C142" t="s">
        <v>9</v>
      </c>
      <c r="D142" t="s">
        <v>39</v>
      </c>
      <c r="E142" t="s">
        <v>39</v>
      </c>
      <c r="F142" t="s">
        <v>184</v>
      </c>
      <c r="G142">
        <v>35</v>
      </c>
      <c r="H142" t="s">
        <v>448</v>
      </c>
      <c r="I142">
        <v>0.29568716883659363</v>
      </c>
      <c r="J142">
        <v>0.11859180778264999</v>
      </c>
      <c r="K142">
        <v>1</v>
      </c>
      <c r="L142">
        <v>3000000</v>
      </c>
      <c r="M142">
        <v>3000000</v>
      </c>
      <c r="O142" t="s">
        <v>56</v>
      </c>
      <c r="P142">
        <v>1</v>
      </c>
      <c r="Q142">
        <v>10000000</v>
      </c>
      <c r="R142">
        <v>10000000</v>
      </c>
      <c r="S142">
        <f t="shared" si="21"/>
        <v>0</v>
      </c>
      <c r="T142">
        <f t="shared" si="22"/>
        <v>0</v>
      </c>
      <c r="U142">
        <f t="shared" si="14"/>
        <v>1</v>
      </c>
      <c r="V142">
        <v>0</v>
      </c>
      <c r="W142">
        <f t="shared" si="15"/>
        <v>0</v>
      </c>
      <c r="X142">
        <f t="shared" si="16"/>
        <v>0</v>
      </c>
      <c r="Y142">
        <f t="shared" si="17"/>
        <v>0</v>
      </c>
      <c r="Z142">
        <f t="shared" si="18"/>
        <v>0</v>
      </c>
      <c r="AA142">
        <f t="shared" si="23"/>
        <v>0</v>
      </c>
      <c r="AB142">
        <f t="shared" si="24"/>
        <v>0</v>
      </c>
      <c r="AC142">
        <f t="shared" si="25"/>
        <v>0</v>
      </c>
      <c r="AD142">
        <f t="shared" si="19"/>
        <v>0</v>
      </c>
      <c r="AE142">
        <f t="shared" si="20"/>
        <v>0</v>
      </c>
      <c r="AF142">
        <f t="shared" si="13"/>
        <v>3000000</v>
      </c>
    </row>
    <row r="143" spans="1:32" x14ac:dyDescent="0.35">
      <c r="A143" s="1">
        <v>0</v>
      </c>
      <c r="B143" t="s">
        <v>698</v>
      </c>
      <c r="C143" t="s">
        <v>10</v>
      </c>
      <c r="D143" t="s">
        <v>39</v>
      </c>
      <c r="E143" t="s">
        <v>39</v>
      </c>
      <c r="F143" t="s">
        <v>40</v>
      </c>
      <c r="G143">
        <v>27</v>
      </c>
      <c r="H143" t="s">
        <v>699</v>
      </c>
      <c r="I143">
        <v>-0.25622951984405518</v>
      </c>
      <c r="J143">
        <v>0.11794913560152054</v>
      </c>
      <c r="L143">
        <v>0</v>
      </c>
      <c r="O143" t="s">
        <v>151</v>
      </c>
      <c r="P143">
        <v>1</v>
      </c>
      <c r="Q143">
        <v>1050000</v>
      </c>
      <c r="R143">
        <v>1050000</v>
      </c>
      <c r="S143">
        <f t="shared" si="21"/>
        <v>0</v>
      </c>
      <c r="T143">
        <f t="shared" si="22"/>
        <v>1</v>
      </c>
      <c r="U143">
        <f t="shared" si="14"/>
        <v>0</v>
      </c>
      <c r="V143">
        <v>0</v>
      </c>
      <c r="W143">
        <f t="shared" si="15"/>
        <v>0</v>
      </c>
      <c r="X143">
        <f t="shared" si="16"/>
        <v>0</v>
      </c>
      <c r="Y143">
        <f t="shared" si="17"/>
        <v>0</v>
      </c>
      <c r="Z143">
        <f t="shared" si="18"/>
        <v>0</v>
      </c>
      <c r="AA143">
        <f t="shared" si="23"/>
        <v>0</v>
      </c>
      <c r="AB143">
        <f t="shared" si="24"/>
        <v>0</v>
      </c>
      <c r="AC143">
        <f t="shared" si="25"/>
        <v>0</v>
      </c>
      <c r="AD143">
        <f t="shared" si="19"/>
        <v>0</v>
      </c>
      <c r="AE143">
        <f t="shared" si="20"/>
        <v>0</v>
      </c>
      <c r="AF143">
        <f t="shared" si="13"/>
        <v>1050000</v>
      </c>
    </row>
    <row r="144" spans="1:32" x14ac:dyDescent="0.35">
      <c r="A144" s="1">
        <v>0</v>
      </c>
      <c r="B144" t="s">
        <v>510</v>
      </c>
      <c r="C144" t="s">
        <v>3</v>
      </c>
      <c r="D144" t="s">
        <v>39</v>
      </c>
      <c r="E144" t="s">
        <v>39</v>
      </c>
      <c r="F144" t="s">
        <v>56</v>
      </c>
      <c r="G144">
        <v>35</v>
      </c>
      <c r="H144" t="s">
        <v>96</v>
      </c>
      <c r="I144">
        <v>0.15860511362552643</v>
      </c>
      <c r="J144">
        <v>0.11500290781259537</v>
      </c>
      <c r="L144">
        <v>0</v>
      </c>
      <c r="O144" t="s">
        <v>58</v>
      </c>
      <c r="P144">
        <v>1</v>
      </c>
      <c r="Q144">
        <v>404516</v>
      </c>
      <c r="R144">
        <v>404516</v>
      </c>
      <c r="S144">
        <f t="shared" si="21"/>
        <v>0</v>
      </c>
      <c r="T144">
        <f t="shared" si="22"/>
        <v>0</v>
      </c>
      <c r="U144">
        <f t="shared" si="14"/>
        <v>0</v>
      </c>
      <c r="V144">
        <v>1</v>
      </c>
      <c r="W144">
        <f t="shared" si="15"/>
        <v>0</v>
      </c>
      <c r="X144">
        <f t="shared" si="16"/>
        <v>0</v>
      </c>
      <c r="Y144">
        <f t="shared" si="17"/>
        <v>0</v>
      </c>
      <c r="Z144">
        <f t="shared" si="18"/>
        <v>0</v>
      </c>
      <c r="AA144">
        <f t="shared" si="23"/>
        <v>0</v>
      </c>
      <c r="AB144">
        <f t="shared" si="24"/>
        <v>0</v>
      </c>
      <c r="AC144">
        <f t="shared" si="25"/>
        <v>0</v>
      </c>
      <c r="AD144">
        <f t="shared" si="19"/>
        <v>0</v>
      </c>
      <c r="AE144">
        <f t="shared" si="20"/>
        <v>0</v>
      </c>
      <c r="AF144">
        <f t="shared" si="13"/>
        <v>404516</v>
      </c>
    </row>
    <row r="145" spans="1:32" x14ac:dyDescent="0.35">
      <c r="A145" s="1">
        <v>0</v>
      </c>
      <c r="B145" t="s">
        <v>253</v>
      </c>
      <c r="C145" t="s">
        <v>3</v>
      </c>
      <c r="D145" t="s">
        <v>39</v>
      </c>
      <c r="E145" t="s">
        <v>39</v>
      </c>
      <c r="F145" t="s">
        <v>254</v>
      </c>
      <c r="G145">
        <v>35</v>
      </c>
      <c r="H145" t="s">
        <v>255</v>
      </c>
      <c r="I145">
        <v>0.90673166513442993</v>
      </c>
      <c r="J145">
        <v>0.11341314762830734</v>
      </c>
      <c r="L145">
        <v>0</v>
      </c>
      <c r="O145" t="s">
        <v>254</v>
      </c>
      <c r="P145">
        <v>1</v>
      </c>
      <c r="Q145">
        <v>2500000</v>
      </c>
      <c r="R145">
        <v>2500000</v>
      </c>
      <c r="S145">
        <f t="shared" si="21"/>
        <v>0</v>
      </c>
      <c r="T145">
        <f t="shared" si="22"/>
        <v>0</v>
      </c>
      <c r="U145">
        <f t="shared" si="14"/>
        <v>0</v>
      </c>
      <c r="V145">
        <v>1</v>
      </c>
      <c r="W145">
        <f t="shared" si="15"/>
        <v>0</v>
      </c>
      <c r="X145">
        <f t="shared" si="16"/>
        <v>0</v>
      </c>
      <c r="Y145">
        <f t="shared" si="17"/>
        <v>0</v>
      </c>
      <c r="Z145">
        <f t="shared" si="18"/>
        <v>0</v>
      </c>
      <c r="AA145">
        <f t="shared" si="23"/>
        <v>0</v>
      </c>
      <c r="AB145">
        <f t="shared" si="24"/>
        <v>0</v>
      </c>
      <c r="AC145">
        <f t="shared" si="25"/>
        <v>0</v>
      </c>
      <c r="AD145">
        <f t="shared" si="19"/>
        <v>0</v>
      </c>
      <c r="AE145">
        <f t="shared" si="20"/>
        <v>0</v>
      </c>
      <c r="AF145">
        <f t="shared" ref="AF145:AF170" si="26">IF(M145="", R145, M145)</f>
        <v>2500000</v>
      </c>
    </row>
    <row r="146" spans="1:32" x14ac:dyDescent="0.35">
      <c r="A146" s="1">
        <v>0</v>
      </c>
      <c r="B146" t="s">
        <v>253</v>
      </c>
      <c r="C146" t="s">
        <v>3</v>
      </c>
      <c r="D146" t="s">
        <v>39</v>
      </c>
      <c r="E146" t="s">
        <v>39</v>
      </c>
      <c r="F146" t="s">
        <v>254</v>
      </c>
      <c r="G146">
        <v>35</v>
      </c>
      <c r="H146" t="s">
        <v>255</v>
      </c>
      <c r="I146">
        <v>0.90673166513442993</v>
      </c>
      <c r="J146">
        <v>0.11341314762830734</v>
      </c>
      <c r="L146">
        <v>0</v>
      </c>
      <c r="O146" t="s">
        <v>56</v>
      </c>
      <c r="P146">
        <v>1</v>
      </c>
      <c r="Q146">
        <v>367742</v>
      </c>
      <c r="R146">
        <v>367742</v>
      </c>
      <c r="S146">
        <f t="shared" si="21"/>
        <v>0</v>
      </c>
      <c r="T146">
        <f t="shared" si="22"/>
        <v>0</v>
      </c>
      <c r="U146">
        <f t="shared" si="14"/>
        <v>0</v>
      </c>
      <c r="V146">
        <v>1</v>
      </c>
      <c r="W146">
        <f t="shared" si="15"/>
        <v>0</v>
      </c>
      <c r="X146">
        <f t="shared" si="16"/>
        <v>0</v>
      </c>
      <c r="Y146">
        <f t="shared" si="17"/>
        <v>0</v>
      </c>
      <c r="Z146">
        <f t="shared" si="18"/>
        <v>0</v>
      </c>
      <c r="AA146">
        <f t="shared" si="23"/>
        <v>0</v>
      </c>
      <c r="AB146">
        <f t="shared" si="24"/>
        <v>0</v>
      </c>
      <c r="AC146">
        <f t="shared" si="25"/>
        <v>0</v>
      </c>
      <c r="AD146">
        <f t="shared" si="19"/>
        <v>0</v>
      </c>
      <c r="AE146">
        <f t="shared" si="20"/>
        <v>0</v>
      </c>
      <c r="AF146">
        <f t="shared" si="26"/>
        <v>367742</v>
      </c>
    </row>
    <row r="147" spans="1:32" x14ac:dyDescent="0.35">
      <c r="A147" s="1">
        <v>0</v>
      </c>
      <c r="B147" t="s">
        <v>371</v>
      </c>
      <c r="C147" t="s">
        <v>347</v>
      </c>
      <c r="D147" t="s">
        <v>39</v>
      </c>
      <c r="E147" t="s">
        <v>39</v>
      </c>
      <c r="F147" t="s">
        <v>125</v>
      </c>
      <c r="G147">
        <v>38</v>
      </c>
      <c r="H147" t="s">
        <v>372</v>
      </c>
      <c r="I147">
        <v>0.50709640979766846</v>
      </c>
      <c r="J147">
        <v>0.10409662872552872</v>
      </c>
      <c r="L147">
        <v>0</v>
      </c>
      <c r="O147" t="s">
        <v>125</v>
      </c>
      <c r="P147">
        <v>1</v>
      </c>
      <c r="Q147">
        <v>5000000</v>
      </c>
      <c r="R147">
        <v>5000000</v>
      </c>
      <c r="S147">
        <f t="shared" si="21"/>
        <v>0</v>
      </c>
      <c r="T147">
        <f t="shared" si="22"/>
        <v>0</v>
      </c>
      <c r="U147">
        <f t="shared" si="14"/>
        <v>0</v>
      </c>
      <c r="V147">
        <v>0</v>
      </c>
      <c r="W147">
        <f t="shared" si="15"/>
        <v>0</v>
      </c>
      <c r="X147">
        <f t="shared" si="16"/>
        <v>0</v>
      </c>
      <c r="Y147">
        <f t="shared" si="17"/>
        <v>0</v>
      </c>
      <c r="Z147">
        <f t="shared" si="18"/>
        <v>0</v>
      </c>
      <c r="AA147">
        <f t="shared" si="23"/>
        <v>0</v>
      </c>
      <c r="AB147">
        <f t="shared" si="24"/>
        <v>0</v>
      </c>
      <c r="AC147">
        <f t="shared" si="25"/>
        <v>0</v>
      </c>
      <c r="AD147">
        <f t="shared" si="19"/>
        <v>0</v>
      </c>
      <c r="AE147">
        <f t="shared" si="20"/>
        <v>1</v>
      </c>
      <c r="AF147">
        <f t="shared" si="26"/>
        <v>5000000</v>
      </c>
    </row>
    <row r="148" spans="1:32" x14ac:dyDescent="0.35">
      <c r="A148" s="1">
        <v>0</v>
      </c>
      <c r="B148" t="s">
        <v>682</v>
      </c>
      <c r="C148" t="s">
        <v>9</v>
      </c>
      <c r="D148" t="s">
        <v>33</v>
      </c>
      <c r="E148" t="s">
        <v>33</v>
      </c>
      <c r="F148" t="s">
        <v>129</v>
      </c>
      <c r="G148">
        <v>32</v>
      </c>
      <c r="H148" t="s">
        <v>683</v>
      </c>
      <c r="I148">
        <v>-0.22588562965393066</v>
      </c>
      <c r="J148">
        <v>9.2887513339519501E-2</v>
      </c>
      <c r="L148">
        <v>0</v>
      </c>
      <c r="O148" t="s">
        <v>53</v>
      </c>
      <c r="P148">
        <v>1</v>
      </c>
      <c r="Q148">
        <v>1000000</v>
      </c>
      <c r="R148">
        <v>1000000</v>
      </c>
      <c r="S148">
        <f t="shared" si="21"/>
        <v>0</v>
      </c>
      <c r="T148">
        <f t="shared" si="22"/>
        <v>0</v>
      </c>
      <c r="U148">
        <f t="shared" si="14"/>
        <v>1</v>
      </c>
      <c r="V148">
        <v>0</v>
      </c>
      <c r="W148">
        <f t="shared" si="15"/>
        <v>0</v>
      </c>
      <c r="X148">
        <f t="shared" si="16"/>
        <v>0</v>
      </c>
      <c r="Y148">
        <f t="shared" si="17"/>
        <v>0</v>
      </c>
      <c r="Z148">
        <f t="shared" si="18"/>
        <v>0</v>
      </c>
      <c r="AA148">
        <f t="shared" si="23"/>
        <v>0</v>
      </c>
      <c r="AB148">
        <f t="shared" si="24"/>
        <v>0</v>
      </c>
      <c r="AC148">
        <f t="shared" si="25"/>
        <v>0</v>
      </c>
      <c r="AD148">
        <f t="shared" si="19"/>
        <v>0</v>
      </c>
      <c r="AE148">
        <f t="shared" si="20"/>
        <v>0</v>
      </c>
      <c r="AF148">
        <f t="shared" si="26"/>
        <v>1000000</v>
      </c>
    </row>
    <row r="149" spans="1:32" x14ac:dyDescent="0.35">
      <c r="A149" s="1">
        <v>0</v>
      </c>
      <c r="B149" t="s">
        <v>639</v>
      </c>
      <c r="C149" t="s">
        <v>9</v>
      </c>
      <c r="D149" t="s">
        <v>33</v>
      </c>
      <c r="E149" t="s">
        <v>33</v>
      </c>
      <c r="F149" t="s">
        <v>34</v>
      </c>
      <c r="G149">
        <v>33</v>
      </c>
      <c r="H149" t="s">
        <v>640</v>
      </c>
      <c r="I149">
        <v>-0.13033147156238556</v>
      </c>
      <c r="J149">
        <v>8.9233413338661194E-2</v>
      </c>
      <c r="L149">
        <v>0</v>
      </c>
      <c r="O149" t="s">
        <v>125</v>
      </c>
      <c r="P149">
        <v>1</v>
      </c>
      <c r="Q149">
        <v>1150000</v>
      </c>
      <c r="R149">
        <v>1150000</v>
      </c>
      <c r="S149">
        <f t="shared" si="21"/>
        <v>0</v>
      </c>
      <c r="T149">
        <f t="shared" si="22"/>
        <v>0</v>
      </c>
      <c r="U149">
        <f t="shared" si="14"/>
        <v>1</v>
      </c>
      <c r="V149">
        <v>0</v>
      </c>
      <c r="W149">
        <f t="shared" si="15"/>
        <v>0</v>
      </c>
      <c r="X149">
        <f t="shared" si="16"/>
        <v>0</v>
      </c>
      <c r="Y149">
        <f t="shared" si="17"/>
        <v>0</v>
      </c>
      <c r="Z149">
        <f t="shared" si="18"/>
        <v>0</v>
      </c>
      <c r="AA149">
        <f t="shared" si="23"/>
        <v>0</v>
      </c>
      <c r="AB149">
        <f t="shared" si="24"/>
        <v>0</v>
      </c>
      <c r="AC149">
        <f t="shared" si="25"/>
        <v>0</v>
      </c>
      <c r="AD149">
        <f t="shared" si="19"/>
        <v>0</v>
      </c>
      <c r="AE149">
        <f t="shared" si="20"/>
        <v>0</v>
      </c>
      <c r="AF149">
        <f t="shared" si="26"/>
        <v>1150000</v>
      </c>
    </row>
    <row r="150" spans="1:32" x14ac:dyDescent="0.35">
      <c r="A150" s="1">
        <v>0</v>
      </c>
      <c r="B150" t="s">
        <v>692</v>
      </c>
      <c r="C150" t="s">
        <v>273</v>
      </c>
      <c r="D150" t="s">
        <v>33</v>
      </c>
      <c r="E150" t="s">
        <v>39</v>
      </c>
      <c r="F150" t="s">
        <v>97</v>
      </c>
      <c r="G150">
        <v>34</v>
      </c>
      <c r="H150" t="s">
        <v>693</v>
      </c>
      <c r="I150">
        <v>-0.24523861706256866</v>
      </c>
      <c r="J150">
        <v>8.315015584230423E-2</v>
      </c>
      <c r="L150">
        <v>0</v>
      </c>
      <c r="O150" t="s">
        <v>151</v>
      </c>
      <c r="P150">
        <v>1</v>
      </c>
      <c r="Q150">
        <v>69892</v>
      </c>
      <c r="R150">
        <v>69892</v>
      </c>
      <c r="S150">
        <f t="shared" si="21"/>
        <v>0</v>
      </c>
      <c r="T150">
        <f t="shared" si="22"/>
        <v>0</v>
      </c>
      <c r="U150">
        <f t="shared" si="14"/>
        <v>0</v>
      </c>
      <c r="V150">
        <v>0</v>
      </c>
      <c r="W150">
        <f t="shared" si="15"/>
        <v>0</v>
      </c>
      <c r="X150">
        <f t="shared" si="16"/>
        <v>0</v>
      </c>
      <c r="Y150">
        <f t="shared" si="17"/>
        <v>0</v>
      </c>
      <c r="Z150">
        <f t="shared" si="18"/>
        <v>0</v>
      </c>
      <c r="AA150">
        <f t="shared" si="23"/>
        <v>1</v>
      </c>
      <c r="AB150">
        <f t="shared" si="24"/>
        <v>1</v>
      </c>
      <c r="AC150">
        <f t="shared" si="25"/>
        <v>1</v>
      </c>
      <c r="AD150">
        <f t="shared" si="19"/>
        <v>0</v>
      </c>
      <c r="AE150">
        <f t="shared" si="20"/>
        <v>0</v>
      </c>
      <c r="AF150">
        <f t="shared" si="26"/>
        <v>69892</v>
      </c>
    </row>
    <row r="151" spans="1:32" x14ac:dyDescent="0.35">
      <c r="A151" s="1">
        <v>0</v>
      </c>
      <c r="B151" t="s">
        <v>555</v>
      </c>
      <c r="C151" t="s">
        <v>9</v>
      </c>
      <c r="D151" t="s">
        <v>39</v>
      </c>
      <c r="E151" t="s">
        <v>39</v>
      </c>
      <c r="F151" t="s">
        <v>51</v>
      </c>
      <c r="G151">
        <v>36</v>
      </c>
      <c r="H151" t="s">
        <v>556</v>
      </c>
      <c r="I151">
        <v>4.3525613844394684E-2</v>
      </c>
      <c r="J151">
        <v>7.9020969569683075E-2</v>
      </c>
      <c r="L151">
        <v>0</v>
      </c>
      <c r="O151" t="s">
        <v>48</v>
      </c>
      <c r="P151">
        <v>1</v>
      </c>
      <c r="Q151">
        <v>75269</v>
      </c>
      <c r="R151">
        <v>75269</v>
      </c>
      <c r="S151">
        <f t="shared" si="21"/>
        <v>0</v>
      </c>
      <c r="T151">
        <f t="shared" si="22"/>
        <v>0</v>
      </c>
      <c r="U151">
        <f t="shared" ref="U151:U170" si="27">IF(ISNUMBER(SEARCH("RP", $C151)), 1, 0)</f>
        <v>1</v>
      </c>
      <c r="V151">
        <v>0</v>
      </c>
      <c r="W151">
        <f t="shared" ref="W151:W170" si="28">IF(ISNUMBER(SEARCH("1B", $C151)), 1, 0)</f>
        <v>0</v>
      </c>
      <c r="X151">
        <f t="shared" ref="X151:X170" si="29">IF(ISNUMBER(SEARCH("2B", $C151)), 1, 0)</f>
        <v>0</v>
      </c>
      <c r="Y151">
        <f t="shared" ref="Y151:Y170" si="30">IF(ISNUMBER(SEARCH("SS", $C151)), 1, 0)</f>
        <v>0</v>
      </c>
      <c r="Z151">
        <f t="shared" ref="Z151:Z170" si="31">IF(ISNUMBER(SEARCH("3B", $C151)), 1, 0)</f>
        <v>0</v>
      </c>
      <c r="AA151">
        <f t="shared" si="23"/>
        <v>0</v>
      </c>
      <c r="AB151">
        <f t="shared" si="24"/>
        <v>0</v>
      </c>
      <c r="AC151">
        <f t="shared" si="25"/>
        <v>0</v>
      </c>
      <c r="AD151">
        <f t="shared" ref="AD151:AD170" si="32">IF(ISNUMBER(SEARCH("OF", $C151)), 1, 0)</f>
        <v>0</v>
      </c>
      <c r="AE151">
        <f t="shared" ref="AE151:AE170" si="33">IF(ISNUMBER(SEARCH("DH", $C151)), 1, 0)</f>
        <v>0</v>
      </c>
      <c r="AF151">
        <f t="shared" si="26"/>
        <v>75269</v>
      </c>
    </row>
    <row r="152" spans="1:32" x14ac:dyDescent="0.35">
      <c r="A152" s="1">
        <v>0</v>
      </c>
      <c r="B152" t="s">
        <v>776</v>
      </c>
      <c r="C152" t="s">
        <v>364</v>
      </c>
      <c r="D152" t="s">
        <v>33</v>
      </c>
      <c r="E152" t="s">
        <v>33</v>
      </c>
      <c r="F152" t="s">
        <v>151</v>
      </c>
      <c r="G152">
        <v>29</v>
      </c>
      <c r="H152" t="s">
        <v>777</v>
      </c>
      <c r="I152">
        <v>-0.82241135835647583</v>
      </c>
      <c r="J152">
        <v>7.8812338411808014E-2</v>
      </c>
      <c r="L152">
        <v>0</v>
      </c>
      <c r="O152" t="s">
        <v>46</v>
      </c>
      <c r="P152">
        <v>1</v>
      </c>
      <c r="Q152">
        <v>1600000</v>
      </c>
      <c r="R152">
        <v>1600000</v>
      </c>
      <c r="S152">
        <f t="shared" ref="S152:S170" si="34">IF(N152&gt;0, 1, 0)</f>
        <v>0</v>
      </c>
      <c r="T152">
        <f t="shared" ref="T152:T170" si="35">IF(ISNUMBER(SEARCH("SP", $C152)), 1, 0)</f>
        <v>0</v>
      </c>
      <c r="U152">
        <f t="shared" si="27"/>
        <v>0</v>
      </c>
      <c r="V152">
        <v>0</v>
      </c>
      <c r="W152">
        <f t="shared" si="28"/>
        <v>1</v>
      </c>
      <c r="X152">
        <f t="shared" si="29"/>
        <v>0</v>
      </c>
      <c r="Y152">
        <f t="shared" si="30"/>
        <v>0</v>
      </c>
      <c r="Z152">
        <f t="shared" si="31"/>
        <v>0</v>
      </c>
      <c r="AA152">
        <f t="shared" ref="AA152:AA170" si="36">IF($AD152=1, 1, IF(ISNUMBER(SEARCH("LF", $C152)), 1, 0))</f>
        <v>1</v>
      </c>
      <c r="AB152">
        <f t="shared" ref="AB152:AB170" si="37">IF($AD152=1, 1, IF(ISNUMBER(SEARCH("CF", $C152)), 1, 0))</f>
        <v>0</v>
      </c>
      <c r="AC152">
        <f t="shared" ref="AC152:AC170" si="38">IF($AD152=1, 1, IF(ISNUMBER(SEARCH("RF", $C152)), 1, 0))</f>
        <v>1</v>
      </c>
      <c r="AD152">
        <f t="shared" si="32"/>
        <v>0</v>
      </c>
      <c r="AE152">
        <f t="shared" si="33"/>
        <v>0</v>
      </c>
      <c r="AF152">
        <f t="shared" si="26"/>
        <v>1600000</v>
      </c>
    </row>
    <row r="153" spans="1:32" x14ac:dyDescent="0.35">
      <c r="A153" s="1">
        <v>0</v>
      </c>
      <c r="B153" t="s">
        <v>821</v>
      </c>
      <c r="C153" t="s">
        <v>9</v>
      </c>
      <c r="D153" t="s">
        <v>39</v>
      </c>
      <c r="E153" t="s">
        <v>39</v>
      </c>
      <c r="F153" t="s">
        <v>51</v>
      </c>
      <c r="G153">
        <v>34</v>
      </c>
      <c r="H153" t="s">
        <v>822</v>
      </c>
      <c r="J153">
        <v>7.1345821022987366E-2</v>
      </c>
      <c r="L153">
        <v>0</v>
      </c>
      <c r="O153" t="s">
        <v>58</v>
      </c>
      <c r="P153">
        <v>1</v>
      </c>
      <c r="Q153">
        <v>1350000</v>
      </c>
      <c r="R153">
        <v>1350000</v>
      </c>
      <c r="S153">
        <f t="shared" si="34"/>
        <v>0</v>
      </c>
      <c r="T153">
        <f t="shared" si="35"/>
        <v>0</v>
      </c>
      <c r="U153">
        <f t="shared" si="27"/>
        <v>1</v>
      </c>
      <c r="V153">
        <v>0</v>
      </c>
      <c r="W153">
        <f t="shared" si="28"/>
        <v>0</v>
      </c>
      <c r="X153">
        <f t="shared" si="29"/>
        <v>0</v>
      </c>
      <c r="Y153">
        <f t="shared" si="30"/>
        <v>0</v>
      </c>
      <c r="Z153">
        <f t="shared" si="31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2"/>
        <v>0</v>
      </c>
      <c r="AE153">
        <f t="shared" si="33"/>
        <v>0</v>
      </c>
      <c r="AF153">
        <f t="shared" si="26"/>
        <v>1350000</v>
      </c>
    </row>
    <row r="154" spans="1:32" x14ac:dyDescent="0.35">
      <c r="A154" s="1">
        <v>0</v>
      </c>
      <c r="B154" t="s">
        <v>444</v>
      </c>
      <c r="C154" t="s">
        <v>9</v>
      </c>
      <c r="D154" t="s">
        <v>33</v>
      </c>
      <c r="E154" t="s">
        <v>33</v>
      </c>
      <c r="F154" t="s">
        <v>36</v>
      </c>
      <c r="G154">
        <v>37</v>
      </c>
      <c r="H154" t="s">
        <v>445</v>
      </c>
      <c r="I154">
        <v>0.30086380243301392</v>
      </c>
      <c r="J154">
        <v>6.8564809858798981E-2</v>
      </c>
      <c r="K154">
        <v>1</v>
      </c>
      <c r="L154">
        <v>4000000</v>
      </c>
      <c r="M154">
        <v>4000000</v>
      </c>
      <c r="O154" t="s">
        <v>36</v>
      </c>
      <c r="P154">
        <v>1</v>
      </c>
      <c r="Q154">
        <v>1850000</v>
      </c>
      <c r="R154">
        <v>1850000</v>
      </c>
      <c r="S154">
        <f t="shared" si="34"/>
        <v>0</v>
      </c>
      <c r="T154">
        <f t="shared" si="35"/>
        <v>0</v>
      </c>
      <c r="U154">
        <f t="shared" si="27"/>
        <v>1</v>
      </c>
      <c r="V154">
        <v>0</v>
      </c>
      <c r="W154">
        <f t="shared" si="28"/>
        <v>0</v>
      </c>
      <c r="X154">
        <f t="shared" si="29"/>
        <v>0</v>
      </c>
      <c r="Y154">
        <f t="shared" si="30"/>
        <v>0</v>
      </c>
      <c r="Z154">
        <f t="shared" si="31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2"/>
        <v>0</v>
      </c>
      <c r="AE154">
        <f t="shared" si="33"/>
        <v>0</v>
      </c>
      <c r="AF154">
        <f t="shared" si="26"/>
        <v>4000000</v>
      </c>
    </row>
    <row r="155" spans="1:32" x14ac:dyDescent="0.35">
      <c r="A155" s="1">
        <v>0</v>
      </c>
      <c r="B155" t="s">
        <v>764</v>
      </c>
      <c r="C155" t="s">
        <v>3</v>
      </c>
      <c r="D155" t="s">
        <v>39</v>
      </c>
      <c r="E155" t="s">
        <v>39</v>
      </c>
      <c r="F155" t="s">
        <v>70</v>
      </c>
      <c r="G155">
        <v>34</v>
      </c>
      <c r="H155" t="s">
        <v>765</v>
      </c>
      <c r="I155">
        <v>-0.69027155637741089</v>
      </c>
      <c r="J155">
        <v>6.6669568419456482E-2</v>
      </c>
      <c r="L155">
        <v>0</v>
      </c>
      <c r="O155" t="s">
        <v>81</v>
      </c>
      <c r="P155">
        <v>1</v>
      </c>
      <c r="Q155">
        <v>1182796</v>
      </c>
      <c r="R155">
        <v>1182796</v>
      </c>
      <c r="S155">
        <f t="shared" si="34"/>
        <v>0</v>
      </c>
      <c r="T155">
        <f t="shared" si="35"/>
        <v>0</v>
      </c>
      <c r="U155">
        <f t="shared" si="27"/>
        <v>0</v>
      </c>
      <c r="V155">
        <v>1</v>
      </c>
      <c r="W155">
        <f t="shared" si="28"/>
        <v>0</v>
      </c>
      <c r="X155">
        <f t="shared" si="29"/>
        <v>0</v>
      </c>
      <c r="Y155">
        <f t="shared" si="30"/>
        <v>0</v>
      </c>
      <c r="Z155">
        <f t="shared" si="31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2"/>
        <v>0</v>
      </c>
      <c r="AE155">
        <f t="shared" si="33"/>
        <v>0</v>
      </c>
      <c r="AF155">
        <f t="shared" si="26"/>
        <v>1182796</v>
      </c>
    </row>
    <row r="156" spans="1:32" x14ac:dyDescent="0.35">
      <c r="A156" s="1">
        <v>0</v>
      </c>
      <c r="B156" t="s">
        <v>538</v>
      </c>
      <c r="C156" t="s">
        <v>9</v>
      </c>
      <c r="D156" t="s">
        <v>39</v>
      </c>
      <c r="E156" t="s">
        <v>39</v>
      </c>
      <c r="F156" t="s">
        <v>36</v>
      </c>
      <c r="G156">
        <v>32</v>
      </c>
      <c r="H156" t="s">
        <v>539</v>
      </c>
      <c r="I156">
        <v>0.10687315464019775</v>
      </c>
      <c r="J156">
        <v>6.5068893134593964E-2</v>
      </c>
      <c r="L156">
        <v>0</v>
      </c>
      <c r="O156" t="s">
        <v>184</v>
      </c>
      <c r="P156">
        <v>1</v>
      </c>
      <c r="Q156">
        <v>2000000</v>
      </c>
      <c r="R156">
        <v>2000000</v>
      </c>
      <c r="S156">
        <f t="shared" si="34"/>
        <v>0</v>
      </c>
      <c r="T156">
        <f t="shared" si="35"/>
        <v>0</v>
      </c>
      <c r="U156">
        <f t="shared" si="27"/>
        <v>1</v>
      </c>
      <c r="V156">
        <v>0</v>
      </c>
      <c r="W156">
        <f t="shared" si="28"/>
        <v>0</v>
      </c>
      <c r="X156">
        <f t="shared" si="29"/>
        <v>0</v>
      </c>
      <c r="Y156">
        <f t="shared" si="30"/>
        <v>0</v>
      </c>
      <c r="Z156">
        <f t="shared" si="31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2"/>
        <v>0</v>
      </c>
      <c r="AE156">
        <f t="shared" si="33"/>
        <v>0</v>
      </c>
      <c r="AF156">
        <f t="shared" si="26"/>
        <v>2000000</v>
      </c>
    </row>
    <row r="157" spans="1:32" x14ac:dyDescent="0.35">
      <c r="A157" s="1">
        <v>0</v>
      </c>
      <c r="B157" t="s">
        <v>824</v>
      </c>
      <c r="C157" t="s">
        <v>10</v>
      </c>
      <c r="D157" t="s">
        <v>33</v>
      </c>
      <c r="E157" t="s">
        <v>33</v>
      </c>
      <c r="F157" t="s">
        <v>825</v>
      </c>
      <c r="G157">
        <v>32</v>
      </c>
      <c r="H157" t="s">
        <v>826</v>
      </c>
      <c r="J157">
        <v>6.3840761780738831E-2</v>
      </c>
      <c r="K157">
        <v>2</v>
      </c>
      <c r="L157">
        <v>14500000</v>
      </c>
      <c r="M157">
        <v>7250000</v>
      </c>
      <c r="O157" t="s">
        <v>46</v>
      </c>
      <c r="P157">
        <v>1</v>
      </c>
      <c r="Q157">
        <v>1500000</v>
      </c>
      <c r="R157">
        <v>1500000</v>
      </c>
      <c r="S157">
        <f t="shared" si="34"/>
        <v>0</v>
      </c>
      <c r="T157">
        <f t="shared" si="35"/>
        <v>1</v>
      </c>
      <c r="U157">
        <f t="shared" si="27"/>
        <v>0</v>
      </c>
      <c r="V157">
        <v>0</v>
      </c>
      <c r="W157">
        <f t="shared" si="28"/>
        <v>0</v>
      </c>
      <c r="X157">
        <f t="shared" si="29"/>
        <v>0</v>
      </c>
      <c r="Y157">
        <f t="shared" si="30"/>
        <v>0</v>
      </c>
      <c r="Z157">
        <f t="shared" si="31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2"/>
        <v>0</v>
      </c>
      <c r="AE157">
        <f t="shared" si="33"/>
        <v>0</v>
      </c>
      <c r="AF157">
        <f t="shared" si="26"/>
        <v>7250000</v>
      </c>
    </row>
    <row r="158" spans="1:32" x14ac:dyDescent="0.35">
      <c r="A158" s="1">
        <v>0</v>
      </c>
      <c r="B158" t="s">
        <v>794</v>
      </c>
      <c r="C158" t="s">
        <v>273</v>
      </c>
      <c r="D158" t="s">
        <v>39</v>
      </c>
      <c r="E158" t="s">
        <v>39</v>
      </c>
      <c r="F158" t="s">
        <v>125</v>
      </c>
      <c r="G158">
        <v>28</v>
      </c>
      <c r="H158" t="s">
        <v>795</v>
      </c>
      <c r="I158">
        <v>-1.0844602584838867</v>
      </c>
      <c r="J158">
        <v>6.0694601386785507E-2</v>
      </c>
      <c r="L158">
        <v>0</v>
      </c>
      <c r="O158" t="s">
        <v>48</v>
      </c>
      <c r="P158">
        <v>1</v>
      </c>
      <c r="Q158">
        <v>860000</v>
      </c>
      <c r="R158">
        <v>860000</v>
      </c>
      <c r="S158">
        <f t="shared" si="34"/>
        <v>0</v>
      </c>
      <c r="T158">
        <f t="shared" si="35"/>
        <v>0</v>
      </c>
      <c r="U158">
        <f t="shared" si="27"/>
        <v>0</v>
      </c>
      <c r="V158">
        <v>0</v>
      </c>
      <c r="W158">
        <f t="shared" si="28"/>
        <v>0</v>
      </c>
      <c r="X158">
        <f t="shared" si="29"/>
        <v>0</v>
      </c>
      <c r="Y158">
        <f t="shared" si="30"/>
        <v>0</v>
      </c>
      <c r="Z158">
        <f t="shared" si="31"/>
        <v>0</v>
      </c>
      <c r="AA158">
        <f t="shared" si="36"/>
        <v>1</v>
      </c>
      <c r="AB158">
        <f t="shared" si="37"/>
        <v>1</v>
      </c>
      <c r="AC158">
        <f t="shared" si="38"/>
        <v>1</v>
      </c>
      <c r="AD158">
        <f t="shared" si="32"/>
        <v>0</v>
      </c>
      <c r="AE158">
        <f t="shared" si="33"/>
        <v>0</v>
      </c>
      <c r="AF158">
        <f t="shared" si="26"/>
        <v>860000</v>
      </c>
    </row>
    <row r="159" spans="1:32" x14ac:dyDescent="0.35">
      <c r="A159" s="1">
        <v>0</v>
      </c>
      <c r="B159" t="s">
        <v>689</v>
      </c>
      <c r="C159" t="s">
        <v>9</v>
      </c>
      <c r="D159" t="s">
        <v>33</v>
      </c>
      <c r="E159" t="s">
        <v>33</v>
      </c>
      <c r="F159" t="s">
        <v>100</v>
      </c>
      <c r="G159">
        <v>33</v>
      </c>
      <c r="H159" t="s">
        <v>690</v>
      </c>
      <c r="I159">
        <v>-0.2403220534324646</v>
      </c>
      <c r="J159">
        <v>5.2799146622419357E-2</v>
      </c>
      <c r="L159">
        <v>0</v>
      </c>
      <c r="O159" t="s">
        <v>51</v>
      </c>
      <c r="P159">
        <v>1</v>
      </c>
      <c r="Q159">
        <v>1200000</v>
      </c>
      <c r="R159">
        <v>1200000</v>
      </c>
      <c r="S159">
        <f t="shared" si="34"/>
        <v>0</v>
      </c>
      <c r="T159">
        <f t="shared" si="35"/>
        <v>0</v>
      </c>
      <c r="U159">
        <f t="shared" si="27"/>
        <v>1</v>
      </c>
      <c r="V159">
        <v>0</v>
      </c>
      <c r="W159">
        <f t="shared" si="28"/>
        <v>0</v>
      </c>
      <c r="X159">
        <f t="shared" si="29"/>
        <v>0</v>
      </c>
      <c r="Y159">
        <f t="shared" si="30"/>
        <v>0</v>
      </c>
      <c r="Z159">
        <f t="shared" si="31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2"/>
        <v>0</v>
      </c>
      <c r="AE159">
        <f t="shared" si="33"/>
        <v>0</v>
      </c>
      <c r="AF159">
        <f t="shared" si="26"/>
        <v>1200000</v>
      </c>
    </row>
    <row r="160" spans="1:32" x14ac:dyDescent="0.35">
      <c r="A160" s="1">
        <v>0</v>
      </c>
      <c r="B160" t="s">
        <v>346</v>
      </c>
      <c r="C160" t="s">
        <v>347</v>
      </c>
      <c r="D160" t="s">
        <v>39</v>
      </c>
      <c r="E160" t="s">
        <v>39</v>
      </c>
      <c r="F160" t="s">
        <v>36</v>
      </c>
      <c r="G160">
        <v>37</v>
      </c>
      <c r="H160" t="s">
        <v>348</v>
      </c>
      <c r="I160">
        <v>0.5915982723236084</v>
      </c>
      <c r="J160">
        <v>5.1865734159946442E-2</v>
      </c>
      <c r="K160">
        <v>1</v>
      </c>
      <c r="L160">
        <v>9000000</v>
      </c>
      <c r="M160">
        <v>9000000</v>
      </c>
      <c r="S160">
        <f t="shared" si="34"/>
        <v>0</v>
      </c>
      <c r="T160">
        <f t="shared" si="35"/>
        <v>0</v>
      </c>
      <c r="U160">
        <f t="shared" si="27"/>
        <v>0</v>
      </c>
      <c r="V160">
        <v>0</v>
      </c>
      <c r="W160">
        <f t="shared" si="28"/>
        <v>0</v>
      </c>
      <c r="X160">
        <f t="shared" si="29"/>
        <v>0</v>
      </c>
      <c r="Y160">
        <f t="shared" si="30"/>
        <v>0</v>
      </c>
      <c r="Z160">
        <f t="shared" si="31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2"/>
        <v>0</v>
      </c>
      <c r="AE160">
        <f t="shared" si="33"/>
        <v>1</v>
      </c>
      <c r="AF160">
        <f t="shared" si="26"/>
        <v>9000000</v>
      </c>
    </row>
    <row r="161" spans="1:32" x14ac:dyDescent="0.35">
      <c r="A161" s="1">
        <v>0</v>
      </c>
      <c r="B161" t="s">
        <v>753</v>
      </c>
      <c r="C161" t="s">
        <v>10</v>
      </c>
      <c r="D161" t="s">
        <v>39</v>
      </c>
      <c r="E161" t="s">
        <v>33</v>
      </c>
      <c r="F161" t="s">
        <v>110</v>
      </c>
      <c r="G161">
        <v>30</v>
      </c>
      <c r="H161" t="s">
        <v>728</v>
      </c>
      <c r="I161">
        <v>-0.56611722707748413</v>
      </c>
      <c r="J161">
        <v>4.6464964747428894E-2</v>
      </c>
      <c r="L161">
        <v>0</v>
      </c>
      <c r="O161" t="s">
        <v>40</v>
      </c>
      <c r="P161">
        <v>1</v>
      </c>
      <c r="Q161">
        <v>1000000</v>
      </c>
      <c r="R161">
        <v>1000000</v>
      </c>
      <c r="S161">
        <f t="shared" si="34"/>
        <v>0</v>
      </c>
      <c r="T161">
        <f t="shared" si="35"/>
        <v>1</v>
      </c>
      <c r="U161">
        <f t="shared" si="27"/>
        <v>0</v>
      </c>
      <c r="V161">
        <v>0</v>
      </c>
      <c r="W161">
        <f t="shared" si="28"/>
        <v>0</v>
      </c>
      <c r="X161">
        <f t="shared" si="29"/>
        <v>0</v>
      </c>
      <c r="Y161">
        <f t="shared" si="30"/>
        <v>0</v>
      </c>
      <c r="Z161">
        <f t="shared" si="31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2"/>
        <v>0</v>
      </c>
      <c r="AE161">
        <f t="shared" si="33"/>
        <v>0</v>
      </c>
      <c r="AF161">
        <f t="shared" si="26"/>
        <v>1000000</v>
      </c>
    </row>
    <row r="162" spans="1:32" x14ac:dyDescent="0.35">
      <c r="A162" s="1">
        <v>0</v>
      </c>
      <c r="B162" t="s">
        <v>753</v>
      </c>
      <c r="C162" t="s">
        <v>10</v>
      </c>
      <c r="D162" t="s">
        <v>39</v>
      </c>
      <c r="E162" t="s">
        <v>33</v>
      </c>
      <c r="F162" t="s">
        <v>110</v>
      </c>
      <c r="G162">
        <v>30</v>
      </c>
      <c r="H162" t="s">
        <v>728</v>
      </c>
      <c r="I162">
        <v>-0.56611722707748413</v>
      </c>
      <c r="J162">
        <v>4.6464964747428894E-2</v>
      </c>
      <c r="L162">
        <v>0</v>
      </c>
      <c r="O162" t="s">
        <v>151</v>
      </c>
      <c r="P162">
        <v>1</v>
      </c>
      <c r="Q162">
        <v>461720</v>
      </c>
      <c r="R162">
        <v>461720</v>
      </c>
      <c r="S162">
        <f t="shared" si="34"/>
        <v>0</v>
      </c>
      <c r="T162">
        <f t="shared" si="35"/>
        <v>1</v>
      </c>
      <c r="U162">
        <f t="shared" si="27"/>
        <v>0</v>
      </c>
      <c r="V162">
        <v>0</v>
      </c>
      <c r="W162">
        <f t="shared" si="28"/>
        <v>0</v>
      </c>
      <c r="X162">
        <f t="shared" si="29"/>
        <v>0</v>
      </c>
      <c r="Y162">
        <f t="shared" si="30"/>
        <v>0</v>
      </c>
      <c r="Z162">
        <f t="shared" si="31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2"/>
        <v>0</v>
      </c>
      <c r="AE162">
        <f t="shared" si="33"/>
        <v>0</v>
      </c>
      <c r="AF162">
        <f t="shared" si="26"/>
        <v>461720</v>
      </c>
    </row>
    <row r="163" spans="1:32" x14ac:dyDescent="0.35">
      <c r="A163" s="1">
        <v>0</v>
      </c>
      <c r="B163" t="s">
        <v>642</v>
      </c>
      <c r="C163" t="s">
        <v>10</v>
      </c>
      <c r="D163" t="s">
        <v>39</v>
      </c>
      <c r="E163" t="s">
        <v>39</v>
      </c>
      <c r="F163" t="s">
        <v>36</v>
      </c>
      <c r="G163">
        <v>32</v>
      </c>
      <c r="H163" t="s">
        <v>643</v>
      </c>
      <c r="I163">
        <v>-0.14314869046211243</v>
      </c>
      <c r="J163">
        <v>4.3546851724386215E-2</v>
      </c>
      <c r="L163">
        <v>0</v>
      </c>
      <c r="O163" t="s">
        <v>151</v>
      </c>
      <c r="P163">
        <v>1</v>
      </c>
      <c r="Q163">
        <v>958065</v>
      </c>
      <c r="R163">
        <v>958065</v>
      </c>
      <c r="S163">
        <f t="shared" si="34"/>
        <v>0</v>
      </c>
      <c r="T163">
        <f t="shared" si="35"/>
        <v>1</v>
      </c>
      <c r="U163">
        <f t="shared" si="27"/>
        <v>0</v>
      </c>
      <c r="V163">
        <v>0</v>
      </c>
      <c r="W163">
        <f t="shared" si="28"/>
        <v>0</v>
      </c>
      <c r="X163">
        <f t="shared" si="29"/>
        <v>0</v>
      </c>
      <c r="Y163">
        <f t="shared" si="30"/>
        <v>0</v>
      </c>
      <c r="Z163">
        <f t="shared" si="31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2"/>
        <v>0</v>
      </c>
      <c r="AE163">
        <f t="shared" si="33"/>
        <v>0</v>
      </c>
      <c r="AF163">
        <f t="shared" si="26"/>
        <v>958065</v>
      </c>
    </row>
    <row r="164" spans="1:32" x14ac:dyDescent="0.35">
      <c r="A164" s="1">
        <v>0</v>
      </c>
      <c r="B164" t="s">
        <v>318</v>
      </c>
      <c r="C164" t="s">
        <v>9</v>
      </c>
      <c r="D164" t="s">
        <v>39</v>
      </c>
      <c r="E164" t="s">
        <v>39</v>
      </c>
      <c r="F164" t="s">
        <v>56</v>
      </c>
      <c r="G164">
        <v>31</v>
      </c>
      <c r="H164" t="s">
        <v>319</v>
      </c>
      <c r="I164">
        <v>0.6643909215927124</v>
      </c>
      <c r="J164">
        <v>3.1041212379932404E-2</v>
      </c>
      <c r="L164">
        <v>0</v>
      </c>
      <c r="O164" t="s">
        <v>97</v>
      </c>
      <c r="P164">
        <v>1</v>
      </c>
      <c r="Q164">
        <v>1250000</v>
      </c>
      <c r="R164">
        <v>1250000</v>
      </c>
      <c r="S164">
        <f t="shared" si="34"/>
        <v>0</v>
      </c>
      <c r="T164">
        <f t="shared" si="35"/>
        <v>0</v>
      </c>
      <c r="U164">
        <f t="shared" si="27"/>
        <v>1</v>
      </c>
      <c r="V164">
        <v>0</v>
      </c>
      <c r="W164">
        <f t="shared" si="28"/>
        <v>0</v>
      </c>
      <c r="X164">
        <f t="shared" si="29"/>
        <v>0</v>
      </c>
      <c r="Y164">
        <f t="shared" si="30"/>
        <v>0</v>
      </c>
      <c r="Z164">
        <f t="shared" si="31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2"/>
        <v>0</v>
      </c>
      <c r="AE164">
        <f t="shared" si="33"/>
        <v>0</v>
      </c>
      <c r="AF164">
        <f t="shared" si="26"/>
        <v>1250000</v>
      </c>
    </row>
    <row r="165" spans="1:32" x14ac:dyDescent="0.35">
      <c r="A165" s="1">
        <v>0</v>
      </c>
      <c r="B165" t="s">
        <v>636</v>
      </c>
      <c r="C165" t="s">
        <v>10</v>
      </c>
      <c r="D165" t="s">
        <v>39</v>
      </c>
      <c r="E165" t="s">
        <v>39</v>
      </c>
      <c r="F165" t="s">
        <v>151</v>
      </c>
      <c r="G165">
        <v>34</v>
      </c>
      <c r="H165" t="s">
        <v>637</v>
      </c>
      <c r="I165">
        <v>-0.12141888588666916</v>
      </c>
      <c r="J165">
        <v>2.2805720567703247E-2</v>
      </c>
      <c r="L165">
        <v>0</v>
      </c>
      <c r="O165" t="s">
        <v>151</v>
      </c>
      <c r="P165">
        <v>1</v>
      </c>
      <c r="Q165">
        <v>185484</v>
      </c>
      <c r="R165">
        <v>185484</v>
      </c>
      <c r="S165">
        <f t="shared" si="34"/>
        <v>0</v>
      </c>
      <c r="T165">
        <f t="shared" si="35"/>
        <v>1</v>
      </c>
      <c r="U165">
        <f t="shared" si="27"/>
        <v>0</v>
      </c>
      <c r="V165">
        <v>0</v>
      </c>
      <c r="W165">
        <f t="shared" si="28"/>
        <v>0</v>
      </c>
      <c r="X165">
        <f t="shared" si="29"/>
        <v>0</v>
      </c>
      <c r="Y165">
        <f t="shared" si="30"/>
        <v>0</v>
      </c>
      <c r="Z165">
        <f t="shared" si="31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2"/>
        <v>0</v>
      </c>
      <c r="AE165">
        <f t="shared" si="33"/>
        <v>0</v>
      </c>
      <c r="AF165">
        <f t="shared" si="26"/>
        <v>185484</v>
      </c>
    </row>
    <row r="166" spans="1:32" x14ac:dyDescent="0.35">
      <c r="A166" s="1">
        <v>0</v>
      </c>
      <c r="B166" t="s">
        <v>791</v>
      </c>
      <c r="C166" t="s">
        <v>32</v>
      </c>
      <c r="D166" t="s">
        <v>39</v>
      </c>
      <c r="E166" t="s">
        <v>39</v>
      </c>
      <c r="F166" t="s">
        <v>48</v>
      </c>
      <c r="G166">
        <v>36</v>
      </c>
      <c r="H166" t="s">
        <v>792</v>
      </c>
      <c r="I166">
        <v>-1.0200787782669067</v>
      </c>
      <c r="J166">
        <v>1.7001070082187653E-2</v>
      </c>
      <c r="K166">
        <v>1</v>
      </c>
      <c r="L166">
        <v>3000000</v>
      </c>
      <c r="M166">
        <v>3000000</v>
      </c>
      <c r="S166">
        <f t="shared" si="34"/>
        <v>0</v>
      </c>
      <c r="T166">
        <f t="shared" si="35"/>
        <v>0</v>
      </c>
      <c r="U166">
        <f t="shared" si="27"/>
        <v>0</v>
      </c>
      <c r="V166">
        <v>0</v>
      </c>
      <c r="W166">
        <f t="shared" si="28"/>
        <v>0</v>
      </c>
      <c r="X166">
        <f t="shared" si="29"/>
        <v>0</v>
      </c>
      <c r="Y166">
        <f t="shared" si="30"/>
        <v>0</v>
      </c>
      <c r="Z166">
        <f t="shared" si="31"/>
        <v>0</v>
      </c>
      <c r="AA166">
        <f t="shared" si="36"/>
        <v>1</v>
      </c>
      <c r="AB166">
        <f t="shared" si="37"/>
        <v>0</v>
      </c>
      <c r="AC166">
        <f t="shared" si="38"/>
        <v>1</v>
      </c>
      <c r="AD166">
        <f t="shared" si="32"/>
        <v>0</v>
      </c>
      <c r="AE166">
        <f t="shared" si="33"/>
        <v>0</v>
      </c>
      <c r="AF166">
        <f t="shared" si="26"/>
        <v>3000000</v>
      </c>
    </row>
    <row r="167" spans="1:32" x14ac:dyDescent="0.35">
      <c r="A167" s="1">
        <v>0</v>
      </c>
      <c r="B167" t="s">
        <v>465</v>
      </c>
      <c r="C167" t="s">
        <v>9</v>
      </c>
      <c r="D167" t="s">
        <v>39</v>
      </c>
      <c r="E167" t="s">
        <v>39</v>
      </c>
      <c r="F167" t="s">
        <v>86</v>
      </c>
      <c r="G167">
        <v>31</v>
      </c>
      <c r="H167" t="s">
        <v>466</v>
      </c>
      <c r="I167">
        <v>0.22867357730865479</v>
      </c>
      <c r="J167">
        <v>1.5004253014922142E-2</v>
      </c>
      <c r="L167">
        <v>0</v>
      </c>
      <c r="O167" t="s">
        <v>86</v>
      </c>
      <c r="P167">
        <v>1</v>
      </c>
      <c r="Q167">
        <v>1400000</v>
      </c>
      <c r="R167">
        <v>1400000</v>
      </c>
      <c r="S167">
        <f t="shared" si="34"/>
        <v>0</v>
      </c>
      <c r="T167">
        <f t="shared" si="35"/>
        <v>0</v>
      </c>
      <c r="U167">
        <f t="shared" si="27"/>
        <v>1</v>
      </c>
      <c r="V167">
        <v>0</v>
      </c>
      <c r="W167">
        <f t="shared" si="28"/>
        <v>0</v>
      </c>
      <c r="X167">
        <f t="shared" si="29"/>
        <v>0</v>
      </c>
      <c r="Y167">
        <f t="shared" si="30"/>
        <v>0</v>
      </c>
      <c r="Z167">
        <f t="shared" si="31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2"/>
        <v>0</v>
      </c>
      <c r="AE167">
        <f t="shared" si="33"/>
        <v>0</v>
      </c>
      <c r="AF167">
        <f t="shared" si="26"/>
        <v>1400000</v>
      </c>
    </row>
    <row r="168" spans="1:32" x14ac:dyDescent="0.35">
      <c r="A168" s="1">
        <v>0</v>
      </c>
      <c r="B168" t="s">
        <v>203</v>
      </c>
      <c r="C168" t="s">
        <v>10</v>
      </c>
      <c r="D168" t="s">
        <v>39</v>
      </c>
      <c r="E168" t="s">
        <v>39</v>
      </c>
      <c r="F168" t="s">
        <v>151</v>
      </c>
      <c r="G168">
        <v>30</v>
      </c>
      <c r="H168" t="s">
        <v>204</v>
      </c>
      <c r="I168">
        <v>1.3038595914840698</v>
      </c>
      <c r="J168">
        <v>1.2986434623599052E-2</v>
      </c>
      <c r="L168">
        <v>0</v>
      </c>
      <c r="O168" t="s">
        <v>104</v>
      </c>
      <c r="P168">
        <v>1</v>
      </c>
      <c r="Q168">
        <v>1225806</v>
      </c>
      <c r="R168">
        <v>1225806</v>
      </c>
      <c r="S168">
        <f t="shared" si="34"/>
        <v>0</v>
      </c>
      <c r="T168">
        <f t="shared" si="35"/>
        <v>1</v>
      </c>
      <c r="U168">
        <f t="shared" si="27"/>
        <v>0</v>
      </c>
      <c r="V168">
        <v>0</v>
      </c>
      <c r="W168">
        <f t="shared" si="28"/>
        <v>0</v>
      </c>
      <c r="X168">
        <f t="shared" si="29"/>
        <v>0</v>
      </c>
      <c r="Y168">
        <f t="shared" si="30"/>
        <v>0</v>
      </c>
      <c r="Z168">
        <f t="shared" si="31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2"/>
        <v>0</v>
      </c>
      <c r="AE168">
        <f t="shared" si="33"/>
        <v>0</v>
      </c>
      <c r="AF168">
        <f t="shared" si="26"/>
        <v>1225806</v>
      </c>
    </row>
    <row r="169" spans="1:32" x14ac:dyDescent="0.35">
      <c r="A169" s="1">
        <v>0</v>
      </c>
      <c r="B169" t="s">
        <v>833</v>
      </c>
      <c r="C169" t="s">
        <v>9</v>
      </c>
      <c r="D169" t="s">
        <v>39</v>
      </c>
      <c r="E169" t="s">
        <v>39</v>
      </c>
      <c r="F169" t="s">
        <v>34</v>
      </c>
      <c r="G169">
        <v>33</v>
      </c>
      <c r="H169" t="s">
        <v>834</v>
      </c>
      <c r="J169">
        <v>9.6611501649022102E-3</v>
      </c>
      <c r="L169">
        <v>0</v>
      </c>
      <c r="O169" t="s">
        <v>42</v>
      </c>
      <c r="P169">
        <v>1</v>
      </c>
      <c r="Q169">
        <v>354839</v>
      </c>
      <c r="R169">
        <v>354839</v>
      </c>
      <c r="S169">
        <f t="shared" si="34"/>
        <v>0</v>
      </c>
      <c r="T169">
        <f t="shared" si="35"/>
        <v>0</v>
      </c>
      <c r="U169">
        <f t="shared" si="27"/>
        <v>1</v>
      </c>
      <c r="V169">
        <v>0</v>
      </c>
      <c r="W169">
        <f t="shared" si="28"/>
        <v>0</v>
      </c>
      <c r="X169">
        <f t="shared" si="29"/>
        <v>0</v>
      </c>
      <c r="Y169">
        <f t="shared" si="30"/>
        <v>0</v>
      </c>
      <c r="Z169">
        <f t="shared" si="31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2"/>
        <v>0</v>
      </c>
      <c r="AE169">
        <f t="shared" si="33"/>
        <v>0</v>
      </c>
      <c r="AF169">
        <f t="shared" si="26"/>
        <v>354839</v>
      </c>
    </row>
    <row r="170" spans="1:32" x14ac:dyDescent="0.35">
      <c r="A170" s="1">
        <v>0</v>
      </c>
      <c r="B170" t="s">
        <v>468</v>
      </c>
      <c r="C170" t="s">
        <v>9</v>
      </c>
      <c r="D170" t="s">
        <v>39</v>
      </c>
      <c r="E170" t="s">
        <v>39</v>
      </c>
      <c r="F170" t="s">
        <v>36</v>
      </c>
      <c r="G170">
        <v>31</v>
      </c>
      <c r="H170" t="s">
        <v>469</v>
      </c>
      <c r="I170">
        <v>0.22086203098297119</v>
      </c>
      <c r="J170">
        <v>1.290323561988771E-4</v>
      </c>
      <c r="K170">
        <v>1</v>
      </c>
      <c r="L170">
        <v>2000000</v>
      </c>
      <c r="M170">
        <v>2000000</v>
      </c>
      <c r="O170" t="s">
        <v>36</v>
      </c>
      <c r="P170">
        <v>1</v>
      </c>
      <c r="Q170">
        <v>1000000</v>
      </c>
      <c r="R170">
        <v>1000000</v>
      </c>
      <c r="S170">
        <f t="shared" si="34"/>
        <v>0</v>
      </c>
      <c r="T170">
        <f t="shared" si="35"/>
        <v>0</v>
      </c>
      <c r="U170">
        <f t="shared" si="27"/>
        <v>1</v>
      </c>
      <c r="V170">
        <v>0</v>
      </c>
      <c r="W170">
        <f t="shared" si="28"/>
        <v>0</v>
      </c>
      <c r="X170">
        <f t="shared" si="29"/>
        <v>0</v>
      </c>
      <c r="Y170">
        <f t="shared" si="30"/>
        <v>0</v>
      </c>
      <c r="Z170">
        <f t="shared" si="31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2"/>
        <v>0</v>
      </c>
      <c r="AE170">
        <f t="shared" si="33"/>
        <v>0</v>
      </c>
      <c r="AF170">
        <f t="shared" si="26"/>
        <v>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5FD6-64C0-4626-ABA5-BA439E82D710}">
  <dimension ref="A1:AF170"/>
  <sheetViews>
    <sheetView workbookViewId="0">
      <selection activeCell="A13" sqref="A1:XFD1048576"/>
    </sheetView>
  </sheetViews>
  <sheetFormatPr defaultRowHeight="14.5" x14ac:dyDescent="0.35"/>
  <cols>
    <col min="1" max="1" width="36.90625" customWidth="1"/>
    <col min="2" max="2" width="16.54296875" customWidth="1"/>
    <col min="3" max="3" width="33.81640625" customWidth="1"/>
    <col min="4" max="4" width="14.1796875" customWidth="1"/>
    <col min="5" max="5" width="21.453125" customWidth="1"/>
    <col min="6" max="6" width="10.6328125" customWidth="1"/>
    <col min="7" max="7" width="20" customWidth="1"/>
    <col min="8" max="8" width="12.54296875" customWidth="1"/>
    <col min="9" max="9" width="12.453125" bestFit="1" customWidth="1"/>
    <col min="11" max="11" width="10" customWidth="1"/>
    <col min="12" max="12" width="9.81640625" bestFit="1" customWidth="1"/>
    <col min="13" max="13" width="14.36328125" customWidth="1"/>
    <col min="17" max="17" width="20" customWidth="1"/>
  </cols>
  <sheetData>
    <row r="1" spans="1:32" x14ac:dyDescent="0.35">
      <c r="B1" t="s">
        <v>879</v>
      </c>
      <c r="C1" s="2">
        <f>SUMPRODUCT($A$16:$A$198,$AF$16:$AF$198)</f>
        <v>82700000</v>
      </c>
      <c r="D1" t="s">
        <v>8</v>
      </c>
      <c r="E1" s="2">
        <v>82994591</v>
      </c>
      <c r="G1" s="5" t="s">
        <v>866</v>
      </c>
      <c r="H1" s="5" t="s">
        <v>11</v>
      </c>
      <c r="I1" s="5" t="s">
        <v>865</v>
      </c>
    </row>
    <row r="2" spans="1:32" x14ac:dyDescent="0.35">
      <c r="B2" t="s">
        <v>25</v>
      </c>
      <c r="C2">
        <f>SUMPRODUCT($A$16:$A$198,$S$16:$S$198)</f>
        <v>1</v>
      </c>
      <c r="D2" t="s">
        <v>8</v>
      </c>
      <c r="E2">
        <v>1</v>
      </c>
      <c r="G2" t="str" cm="1">
        <f t="array" ref="G2">_xlfn._xlws.FILTER($B$16:$B$198, ($A$16:$A$198 = 1)*($S$16:$S$198 = 1), "")</f>
        <v>Corbin Burnes</v>
      </c>
      <c r="H2" cm="1">
        <f t="array" ref="H2">_xlfn._xlws.FILTER($J$16:$J$198, ($A$16:$A$198 = 1)*($S$16:$S$198 = 1), "")</f>
        <v>3.6227576732635498</v>
      </c>
      <c r="I2" cm="1">
        <f t="array" ref="I2">_xlfn._xlws.FILTER($AF$16:$AF$198, ($A$16:$A$198 = 1)*($S$16:$S$198 = 1), "")</f>
        <v>30000000</v>
      </c>
    </row>
    <row r="3" spans="1:32" x14ac:dyDescent="0.35">
      <c r="B3" t="s">
        <v>10</v>
      </c>
      <c r="C3">
        <f>SUMPRODUCT($A$16:$A$198,$T$16:$T$198)</f>
        <v>2</v>
      </c>
      <c r="D3" s="3" t="s">
        <v>869</v>
      </c>
      <c r="E3">
        <v>2</v>
      </c>
      <c r="G3" t="str" cm="1">
        <f t="array" ref="G3:G4">_xlfn._xlws.FILTER($B$16:$B$198, ($A$16:$A$198 = 1)*($T$16:$T$198 = 1), "")</f>
        <v>Corbin Burnes</v>
      </c>
      <c r="H3" cm="1">
        <f t="array" ref="H3:H4">_xlfn._xlws.FILTER($J$16:$J$198, ($A$16:$A$198 = 1)*($T$16:$T$198 = 1), "")</f>
        <v>3.6227576732635498</v>
      </c>
      <c r="I3" cm="1">
        <f t="array" ref="I3:I4">_xlfn._xlws.FILTER($AF$16:$AF$198, ($A$16:$A$198 = 1)*($T$16:$T$198 = 1), "")</f>
        <v>30000000</v>
      </c>
    </row>
    <row r="4" spans="1:32" x14ac:dyDescent="0.35">
      <c r="C4">
        <v>0</v>
      </c>
      <c r="E4">
        <v>0</v>
      </c>
      <c r="G4" t="str">
        <v>Blake Snell</v>
      </c>
      <c r="H4">
        <v>3.4065380096435547</v>
      </c>
      <c r="I4">
        <v>30000000</v>
      </c>
    </row>
    <row r="5" spans="1:32" x14ac:dyDescent="0.35">
      <c r="B5" t="s">
        <v>9</v>
      </c>
      <c r="C5">
        <f>SUMPRODUCT($A$16:$A$198,$U$16:$U$198)</f>
        <v>2</v>
      </c>
      <c r="D5" s="3" t="s">
        <v>869</v>
      </c>
      <c r="E5">
        <v>2</v>
      </c>
      <c r="G5" t="str" cm="1">
        <f t="array" ref="G5:G6">_xlfn._xlws.FILTER($B$16:$B$198, ($A$16:$A$198 = 1)*($U$16:$U$198 = 1), "")</f>
        <v>Aaron Bummer</v>
      </c>
      <c r="H5" cm="1">
        <f t="array" ref="H5:H6">_xlfn._xlws.FILTER($J$16:$J$198, ($A$16:$A$198 = 1)*($U$16:$U$198 = 1), "")</f>
        <v>0.68837302923202515</v>
      </c>
      <c r="I5" cm="1">
        <f t="array" ref="I5:I6">_xlfn._xlws.FILTER($AF$16:$AF$198, ($A$16:$A$198 = 1)*($U$16:$U$198 = 1), "")</f>
        <v>6500000</v>
      </c>
    </row>
    <row r="6" spans="1:32" x14ac:dyDescent="0.35">
      <c r="C6">
        <v>0</v>
      </c>
      <c r="E6">
        <v>0</v>
      </c>
      <c r="G6" t="str">
        <v>Yimi García</v>
      </c>
      <c r="H6">
        <v>0.58305740356445313</v>
      </c>
      <c r="I6">
        <v>5000000</v>
      </c>
    </row>
    <row r="7" spans="1:32" x14ac:dyDescent="0.35">
      <c r="B7" t="s">
        <v>3</v>
      </c>
      <c r="C7">
        <f>SUMPRODUCT($A$16:$A$198,$V$16:$V$198)</f>
        <v>1</v>
      </c>
      <c r="D7" s="3" t="s">
        <v>869</v>
      </c>
      <c r="E7">
        <v>1</v>
      </c>
      <c r="G7" t="str" cm="1">
        <f t="array" ref="G7">_xlfn._xlws.FILTER($B$16:$B$198, ($A$16:$A$198 = 1)*($V$16:$V$198 = 1), "")</f>
        <v>Carson Kelly</v>
      </c>
      <c r="H7" cm="1">
        <f t="array" ref="H7">_xlfn._xlws.FILTER($J$16:$J$198, ($A$16:$A$198 = 1)*($V$16:$V$198 = 1), "")</f>
        <v>1.4981144666671753</v>
      </c>
      <c r="I7" cm="1">
        <f t="array" ref="I7">_xlfn._xlws.FILTER($AF$16:$AF$198, ($A$16:$A$198 = 1)*($V$16:$V$198 = 1), "")</f>
        <v>5750000</v>
      </c>
    </row>
    <row r="8" spans="1:32" x14ac:dyDescent="0.35">
      <c r="B8" t="s">
        <v>7</v>
      </c>
      <c r="C8">
        <f>SUMPRODUCT($A$16:$A$198,$AC$16:$AC$198)</f>
        <v>1</v>
      </c>
      <c r="D8" s="3" t="s">
        <v>869</v>
      </c>
      <c r="E8">
        <v>1</v>
      </c>
      <c r="G8" t="str" cm="1">
        <f t="array" ref="G8">_xlfn._xlws.FILTER($B$16:$B$198, ($A$16:$A$198 = 1)*($AC$16:$AC$198 = 1), "")</f>
        <v>Mike Tauchman</v>
      </c>
      <c r="H8" cm="1">
        <f t="array" ref="H8">_xlfn._xlws.FILTER($J$16:$J$198, ($A$16:$A$198 = 1)*($AC$16:$AC$198 = 1), "")</f>
        <v>0.96923506259918213</v>
      </c>
      <c r="I8" cm="1">
        <f t="array" ref="I8">_xlfn._xlws.FILTER($AF$16:$AF$198, ($A$16:$A$198 = 1)*($AC$16:$AC$198 = 1), "")</f>
        <v>1950000</v>
      </c>
    </row>
    <row r="9" spans="1:32" x14ac:dyDescent="0.35">
      <c r="A9" t="s">
        <v>868</v>
      </c>
      <c r="B9" t="s">
        <v>347</v>
      </c>
      <c r="C9">
        <f>SUMPRODUCT($A$16:$A$198,$AE$16:$AE$198)</f>
        <v>1</v>
      </c>
      <c r="D9" s="3" t="s">
        <v>869</v>
      </c>
      <c r="E9">
        <v>1</v>
      </c>
      <c r="G9" t="str" cm="1">
        <f t="array" ref="G9">_xlfn._xlws.FILTER($B$16:$B$198, ($A$16:$A$198 = 1)*($AE$16:$AE$198 = 1), "")</f>
        <v>Donovan Solano</v>
      </c>
      <c r="H9" cm="1">
        <f t="array" ref="H9">_xlfn._xlws.FILTER($J$16:$J$198, ($A$16:$A$198 = 1)*($AE$16:$AE$198 = 1), "")</f>
        <v>0.44243860244750977</v>
      </c>
      <c r="I9" cm="1">
        <f t="array" ref="I9">_xlfn._xlws.FILTER($AF$16:$AF$198, ($A$16:$A$198 = 1)*($AE$16:$AE$198 = 1), "")</f>
        <v>3500000</v>
      </c>
    </row>
    <row r="10" spans="1:32" x14ac:dyDescent="0.35">
      <c r="A10" t="s">
        <v>878</v>
      </c>
      <c r="B10" t="s">
        <v>877</v>
      </c>
      <c r="C10">
        <f>SUM(A16:A198)</f>
        <v>7</v>
      </c>
      <c r="D10" t="s">
        <v>869</v>
      </c>
      <c r="E10">
        <v>7</v>
      </c>
    </row>
    <row r="11" spans="1:32" x14ac:dyDescent="0.35">
      <c r="B11" t="s">
        <v>55</v>
      </c>
      <c r="C11">
        <f>A24</f>
        <v>1</v>
      </c>
      <c r="D11" s="3" t="s">
        <v>869</v>
      </c>
      <c r="E11">
        <v>1</v>
      </c>
    </row>
    <row r="12" spans="1:32" x14ac:dyDescent="0.35">
      <c r="B12" t="s">
        <v>11</v>
      </c>
      <c r="C12" s="4">
        <f>SUMPRODUCT($A$16:$A$198, $J$16:$J$198)</f>
        <v>11.21051424741745</v>
      </c>
    </row>
    <row r="15" spans="1:32" x14ac:dyDescent="0.35">
      <c r="A15" t="s">
        <v>864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25</v>
      </c>
      <c r="T15" t="s">
        <v>10</v>
      </c>
      <c r="U15" t="s">
        <v>9</v>
      </c>
      <c r="V15" t="s">
        <v>3</v>
      </c>
      <c r="W15" t="s">
        <v>0</v>
      </c>
      <c r="X15" t="s">
        <v>1</v>
      </c>
      <c r="Y15" t="s">
        <v>4</v>
      </c>
      <c r="Z15" t="s">
        <v>2</v>
      </c>
      <c r="AA15" t="s">
        <v>5</v>
      </c>
      <c r="AB15" t="s">
        <v>6</v>
      </c>
      <c r="AC15" t="s">
        <v>7</v>
      </c>
      <c r="AD15" t="s">
        <v>863</v>
      </c>
      <c r="AE15" t="s">
        <v>347</v>
      </c>
      <c r="AF15" t="s">
        <v>885</v>
      </c>
    </row>
    <row r="16" spans="1:32" x14ac:dyDescent="0.35">
      <c r="A16" s="1">
        <v>0</v>
      </c>
      <c r="B16" t="s">
        <v>870</v>
      </c>
      <c r="C16" t="s">
        <v>7</v>
      </c>
      <c r="J16">
        <v>0</v>
      </c>
      <c r="M16">
        <v>760000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f>IF(M16="", R16, M16)</f>
        <v>760000</v>
      </c>
    </row>
    <row r="17" spans="1:32" x14ac:dyDescent="0.35">
      <c r="A17" s="1">
        <v>0</v>
      </c>
      <c r="B17" t="s">
        <v>871</v>
      </c>
      <c r="C17" t="s">
        <v>3</v>
      </c>
      <c r="J17">
        <v>0</v>
      </c>
      <c r="M17">
        <v>760000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ref="AF17:AF80" si="0">IF(M17="", R17, M17)</f>
        <v>760000</v>
      </c>
    </row>
    <row r="18" spans="1:32" x14ac:dyDescent="0.35">
      <c r="A18" s="1">
        <v>0</v>
      </c>
      <c r="B18" t="s">
        <v>872</v>
      </c>
      <c r="C18" t="s">
        <v>867</v>
      </c>
      <c r="J18">
        <v>0</v>
      </c>
      <c r="M18">
        <v>760000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f t="shared" si="0"/>
        <v>760000</v>
      </c>
    </row>
    <row r="19" spans="1:32" x14ac:dyDescent="0.35">
      <c r="A19" s="1">
        <v>0</v>
      </c>
      <c r="B19" t="s">
        <v>873</v>
      </c>
      <c r="C19" t="s">
        <v>10</v>
      </c>
      <c r="J19">
        <v>0</v>
      </c>
      <c r="M19">
        <v>760000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760000</v>
      </c>
    </row>
    <row r="20" spans="1:32" x14ac:dyDescent="0.35">
      <c r="A20" s="1">
        <v>0</v>
      </c>
      <c r="B20" t="s">
        <v>874</v>
      </c>
      <c r="C20" t="s">
        <v>10</v>
      </c>
      <c r="J20">
        <v>0</v>
      </c>
      <c r="M20">
        <v>760000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0"/>
        <v>760000</v>
      </c>
    </row>
    <row r="21" spans="1:32" x14ac:dyDescent="0.35">
      <c r="A21" s="1">
        <v>0</v>
      </c>
      <c r="B21" t="s">
        <v>875</v>
      </c>
      <c r="C21" t="s">
        <v>9</v>
      </c>
      <c r="J21">
        <v>0</v>
      </c>
      <c r="M21">
        <v>760000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760000</v>
      </c>
    </row>
    <row r="22" spans="1:32" x14ac:dyDescent="0.35">
      <c r="A22" s="1">
        <v>0</v>
      </c>
      <c r="B22" t="s">
        <v>876</v>
      </c>
      <c r="C22" t="s">
        <v>9</v>
      </c>
      <c r="J22">
        <v>0</v>
      </c>
      <c r="M22">
        <v>760000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760000</v>
      </c>
    </row>
    <row r="23" spans="1:32" x14ac:dyDescent="0.35">
      <c r="A23" s="1">
        <v>0</v>
      </c>
      <c r="B23" t="s">
        <v>12</v>
      </c>
      <c r="C23" t="s">
        <v>32</v>
      </c>
      <c r="D23" t="s">
        <v>33</v>
      </c>
      <c r="E23" t="s">
        <v>33</v>
      </c>
      <c r="F23" t="s">
        <v>34</v>
      </c>
      <c r="G23">
        <v>26</v>
      </c>
      <c r="H23" t="s">
        <v>35</v>
      </c>
      <c r="I23">
        <v>8.2910079956054688</v>
      </c>
      <c r="J23">
        <v>6.0155210494995117</v>
      </c>
      <c r="K23">
        <v>13</v>
      </c>
      <c r="L23">
        <v>585000000</v>
      </c>
      <c r="M23">
        <v>45000000</v>
      </c>
      <c r="N23">
        <v>21050000</v>
      </c>
      <c r="O23" t="s">
        <v>36</v>
      </c>
      <c r="P23">
        <v>15</v>
      </c>
      <c r="Q23">
        <v>765000000</v>
      </c>
      <c r="R23">
        <v>51000000</v>
      </c>
      <c r="S23">
        <f>IF(N23&gt;0, 1, 0)</f>
        <v>1</v>
      </c>
      <c r="T23">
        <f>IF(ISNUMBER(SEARCH("SP", $C23)), 1, 0)</f>
        <v>0</v>
      </c>
      <c r="U23">
        <f t="shared" ref="U23:U86" si="1">IF(ISNUMBER(SEARCH("RP", $C23)), 1, 0)</f>
        <v>0</v>
      </c>
      <c r="V23">
        <v>0</v>
      </c>
      <c r="W23">
        <f t="shared" ref="W23:W86" si="2">IF(ISNUMBER(SEARCH("1B", $C23)), 1, 0)</f>
        <v>0</v>
      </c>
      <c r="X23">
        <f t="shared" ref="X23:X86" si="3">IF(ISNUMBER(SEARCH("2B", $C23)), 1, 0)</f>
        <v>0</v>
      </c>
      <c r="Y23">
        <f t="shared" ref="Y23:Y86" si="4">IF(ISNUMBER(SEARCH("SS", $C23)), 1, 0)</f>
        <v>0</v>
      </c>
      <c r="Z23">
        <f t="shared" ref="Z23:Z86" si="5">IF(ISNUMBER(SEARCH("3B", $C23)), 1, 0)</f>
        <v>0</v>
      </c>
      <c r="AA23">
        <f>IF($AD23=1, 1, IF(ISNUMBER(SEARCH("LF", $C23)), 1, 0))</f>
        <v>1</v>
      </c>
      <c r="AB23">
        <f>IF($AD23=1, 1, IF(ISNUMBER(SEARCH("CF", $C23)), 1, 0))</f>
        <v>0</v>
      </c>
      <c r="AC23">
        <f>IF($AD23=1, 1, IF(ISNUMBER(SEARCH("RF", $C23)), 1, 0))</f>
        <v>1</v>
      </c>
      <c r="AD23">
        <f t="shared" ref="AD23:AD86" si="6">IF(ISNUMBER(SEARCH("OF", $C23)), 1, 0)</f>
        <v>0</v>
      </c>
      <c r="AE23">
        <f t="shared" ref="AE23:AE86" si="7">IF(ISNUMBER(SEARCH("DH", $C23)), 1, 0)</f>
        <v>0</v>
      </c>
      <c r="AF23">
        <f t="shared" si="0"/>
        <v>45000000</v>
      </c>
    </row>
    <row r="24" spans="1:32" x14ac:dyDescent="0.35">
      <c r="A24" s="1">
        <v>1</v>
      </c>
      <c r="B24" t="s">
        <v>55</v>
      </c>
      <c r="C24" t="s">
        <v>10</v>
      </c>
      <c r="D24" t="s">
        <v>39</v>
      </c>
      <c r="E24" t="s">
        <v>39</v>
      </c>
      <c r="F24" t="s">
        <v>56</v>
      </c>
      <c r="G24">
        <v>30</v>
      </c>
      <c r="H24" t="s">
        <v>57</v>
      </c>
      <c r="I24">
        <v>3.8361482620239258</v>
      </c>
      <c r="J24">
        <v>3.6227576732635498</v>
      </c>
      <c r="K24">
        <v>6</v>
      </c>
      <c r="L24">
        <v>180000000</v>
      </c>
      <c r="M24">
        <v>30000000</v>
      </c>
      <c r="N24">
        <v>21050000</v>
      </c>
      <c r="O24" t="s">
        <v>58</v>
      </c>
      <c r="P24">
        <v>6</v>
      </c>
      <c r="Q24">
        <v>210000000</v>
      </c>
      <c r="R24">
        <v>33041322</v>
      </c>
      <c r="S24">
        <f t="shared" ref="S24:S87" si="8">IF(N24&gt;0, 1, 0)</f>
        <v>1</v>
      </c>
      <c r="T24">
        <f t="shared" ref="T24:T87" si="9">IF(ISNUMBER(SEARCH("SP", $C24)), 1, 0)</f>
        <v>1</v>
      </c>
      <c r="U24">
        <f t="shared" si="1"/>
        <v>0</v>
      </c>
      <c r="V24">
        <v>0</v>
      </c>
      <c r="W24">
        <f t="shared" si="2"/>
        <v>0</v>
      </c>
      <c r="X24">
        <f t="shared" si="3"/>
        <v>0</v>
      </c>
      <c r="Y24">
        <f t="shared" si="4"/>
        <v>0</v>
      </c>
      <c r="Z24">
        <f t="shared" si="5"/>
        <v>0</v>
      </c>
      <c r="AA24">
        <f t="shared" ref="AA24:AA87" si="10">IF($AD24=1, 1, IF(ISNUMBER(SEARCH("LF", $C24)), 1, 0))</f>
        <v>0</v>
      </c>
      <c r="AB24">
        <f t="shared" ref="AB24:AB87" si="11">IF($AD24=1, 1, IF(ISNUMBER(SEARCH("CF", $C24)), 1, 0))</f>
        <v>0</v>
      </c>
      <c r="AC24">
        <f t="shared" ref="AC24:AC87" si="12">IF($AD24=1, 1, IF(ISNUMBER(SEARCH("RF", $C24)), 1, 0))</f>
        <v>0</v>
      </c>
      <c r="AD24">
        <f t="shared" si="6"/>
        <v>0</v>
      </c>
      <c r="AE24">
        <f t="shared" si="7"/>
        <v>0</v>
      </c>
      <c r="AF24">
        <f t="shared" si="0"/>
        <v>30000000</v>
      </c>
    </row>
    <row r="25" spans="1:32" x14ac:dyDescent="0.35">
      <c r="A25" s="1">
        <v>1</v>
      </c>
      <c r="B25" t="s">
        <v>88</v>
      </c>
      <c r="C25" t="s">
        <v>10</v>
      </c>
      <c r="D25" t="s">
        <v>33</v>
      </c>
      <c r="E25" t="s">
        <v>33</v>
      </c>
      <c r="F25" t="s">
        <v>42</v>
      </c>
      <c r="G25">
        <v>32</v>
      </c>
      <c r="H25" t="s">
        <v>89</v>
      </c>
      <c r="I25">
        <v>3.0745391845703125</v>
      </c>
      <c r="J25">
        <v>3.4065380096435547</v>
      </c>
      <c r="K25">
        <v>4</v>
      </c>
      <c r="L25">
        <v>120000000</v>
      </c>
      <c r="M25">
        <v>30000000</v>
      </c>
      <c r="O25" t="s">
        <v>66</v>
      </c>
      <c r="P25">
        <v>5</v>
      </c>
      <c r="Q25">
        <v>182000000</v>
      </c>
      <c r="R25">
        <v>31357257</v>
      </c>
      <c r="S25">
        <f t="shared" si="8"/>
        <v>0</v>
      </c>
      <c r="T25">
        <f t="shared" si="9"/>
        <v>1</v>
      </c>
      <c r="U25">
        <f t="shared" si="1"/>
        <v>0</v>
      </c>
      <c r="V25">
        <v>0</v>
      </c>
      <c r="W25">
        <f t="shared" si="2"/>
        <v>0</v>
      </c>
      <c r="X25">
        <f t="shared" si="3"/>
        <v>0</v>
      </c>
      <c r="Y25">
        <f t="shared" si="4"/>
        <v>0</v>
      </c>
      <c r="Z25">
        <f t="shared" si="5"/>
        <v>0</v>
      </c>
      <c r="AA25">
        <f t="shared" si="10"/>
        <v>0</v>
      </c>
      <c r="AB25">
        <f t="shared" si="11"/>
        <v>0</v>
      </c>
      <c r="AC25">
        <f t="shared" si="12"/>
        <v>0</v>
      </c>
      <c r="AD25">
        <f t="shared" si="6"/>
        <v>0</v>
      </c>
      <c r="AE25">
        <f t="shared" si="7"/>
        <v>0</v>
      </c>
      <c r="AF25">
        <f t="shared" si="0"/>
        <v>30000000</v>
      </c>
    </row>
    <row r="26" spans="1:32" x14ac:dyDescent="0.35">
      <c r="A26" s="1">
        <v>0</v>
      </c>
      <c r="B26" t="s">
        <v>73</v>
      </c>
      <c r="C26" t="s">
        <v>10</v>
      </c>
      <c r="D26" t="s">
        <v>33</v>
      </c>
      <c r="E26" t="s">
        <v>33</v>
      </c>
      <c r="F26" t="s">
        <v>48</v>
      </c>
      <c r="G26">
        <v>31</v>
      </c>
      <c r="H26" t="s">
        <v>74</v>
      </c>
      <c r="I26">
        <v>3.3708357810974121</v>
      </c>
      <c r="J26">
        <v>3.2881619930267334</v>
      </c>
      <c r="K26">
        <v>5</v>
      </c>
      <c r="L26">
        <v>125000000</v>
      </c>
      <c r="M26">
        <v>25000000</v>
      </c>
      <c r="N26">
        <v>21050000</v>
      </c>
      <c r="O26" t="s">
        <v>34</v>
      </c>
      <c r="P26">
        <v>8</v>
      </c>
      <c r="Q26">
        <v>218000000</v>
      </c>
      <c r="R26">
        <v>27250000</v>
      </c>
      <c r="S26">
        <f t="shared" si="8"/>
        <v>1</v>
      </c>
      <c r="T26">
        <f t="shared" si="9"/>
        <v>1</v>
      </c>
      <c r="U26">
        <f t="shared" si="1"/>
        <v>0</v>
      </c>
      <c r="V26">
        <v>0</v>
      </c>
      <c r="W26">
        <f t="shared" si="2"/>
        <v>0</v>
      </c>
      <c r="X26">
        <f t="shared" si="3"/>
        <v>0</v>
      </c>
      <c r="Y26">
        <f t="shared" si="4"/>
        <v>0</v>
      </c>
      <c r="Z26">
        <f t="shared" si="5"/>
        <v>0</v>
      </c>
      <c r="AA26">
        <f t="shared" si="10"/>
        <v>0</v>
      </c>
      <c r="AB26">
        <f t="shared" si="11"/>
        <v>0</v>
      </c>
      <c r="AC26">
        <f t="shared" si="12"/>
        <v>0</v>
      </c>
      <c r="AD26">
        <f t="shared" si="6"/>
        <v>0</v>
      </c>
      <c r="AE26">
        <f t="shared" si="7"/>
        <v>0</v>
      </c>
      <c r="AF26">
        <f t="shared" si="0"/>
        <v>25000000</v>
      </c>
    </row>
    <row r="27" spans="1:32" x14ac:dyDescent="0.35">
      <c r="A27" s="1">
        <v>0</v>
      </c>
      <c r="B27" t="s">
        <v>60</v>
      </c>
      <c r="C27" t="s">
        <v>10</v>
      </c>
      <c r="D27" t="s">
        <v>33</v>
      </c>
      <c r="E27" t="s">
        <v>33</v>
      </c>
      <c r="F27" t="s">
        <v>51</v>
      </c>
      <c r="G27">
        <v>34</v>
      </c>
      <c r="H27" t="s">
        <v>61</v>
      </c>
      <c r="I27">
        <v>3.6429600715637207</v>
      </c>
      <c r="J27">
        <v>2.9929993152618408</v>
      </c>
      <c r="K27">
        <v>3</v>
      </c>
      <c r="L27">
        <v>54000000</v>
      </c>
      <c r="M27">
        <v>18000000</v>
      </c>
      <c r="O27" t="s">
        <v>62</v>
      </c>
      <c r="P27">
        <v>3</v>
      </c>
      <c r="Q27">
        <v>63000000</v>
      </c>
      <c r="R27">
        <v>21000000</v>
      </c>
      <c r="S27">
        <f t="shared" si="8"/>
        <v>0</v>
      </c>
      <c r="T27">
        <f t="shared" si="9"/>
        <v>1</v>
      </c>
      <c r="U27">
        <f t="shared" si="1"/>
        <v>0</v>
      </c>
      <c r="V27">
        <v>0</v>
      </c>
      <c r="W27">
        <f t="shared" si="2"/>
        <v>0</v>
      </c>
      <c r="X27">
        <f t="shared" si="3"/>
        <v>0</v>
      </c>
      <c r="Y27">
        <f t="shared" si="4"/>
        <v>0</v>
      </c>
      <c r="Z27">
        <f t="shared" si="5"/>
        <v>0</v>
      </c>
      <c r="AA27">
        <f t="shared" si="10"/>
        <v>0</v>
      </c>
      <c r="AB27">
        <f t="shared" si="11"/>
        <v>0</v>
      </c>
      <c r="AC27">
        <f t="shared" si="12"/>
        <v>0</v>
      </c>
      <c r="AD27">
        <f t="shared" si="6"/>
        <v>0</v>
      </c>
      <c r="AE27">
        <f t="shared" si="7"/>
        <v>0</v>
      </c>
      <c r="AF27">
        <f t="shared" si="0"/>
        <v>18000000</v>
      </c>
    </row>
    <row r="28" spans="1:32" x14ac:dyDescent="0.35">
      <c r="A28" s="1">
        <v>0</v>
      </c>
      <c r="B28" t="s">
        <v>112</v>
      </c>
      <c r="C28" t="s">
        <v>10</v>
      </c>
      <c r="D28" t="s">
        <v>39</v>
      </c>
      <c r="E28" t="s">
        <v>39</v>
      </c>
      <c r="F28" t="s">
        <v>97</v>
      </c>
      <c r="G28">
        <v>35</v>
      </c>
      <c r="H28" t="s">
        <v>113</v>
      </c>
      <c r="I28">
        <v>2.6279804706573486</v>
      </c>
      <c r="J28">
        <v>2.863853931427002</v>
      </c>
      <c r="K28">
        <v>3</v>
      </c>
      <c r="L28">
        <v>60000000</v>
      </c>
      <c r="M28">
        <v>20000000</v>
      </c>
      <c r="O28" t="s">
        <v>97</v>
      </c>
      <c r="P28">
        <v>3</v>
      </c>
      <c r="Q28">
        <v>75000000</v>
      </c>
      <c r="R28">
        <v>25000000</v>
      </c>
      <c r="S28">
        <f t="shared" si="8"/>
        <v>0</v>
      </c>
      <c r="T28">
        <f t="shared" si="9"/>
        <v>1</v>
      </c>
      <c r="U28">
        <f t="shared" si="1"/>
        <v>0</v>
      </c>
      <c r="V28">
        <v>0</v>
      </c>
      <c r="W28">
        <f t="shared" si="2"/>
        <v>0</v>
      </c>
      <c r="X28">
        <f t="shared" si="3"/>
        <v>0</v>
      </c>
      <c r="Y28">
        <f t="shared" si="4"/>
        <v>0</v>
      </c>
      <c r="Z28">
        <f t="shared" si="5"/>
        <v>0</v>
      </c>
      <c r="AA28">
        <f t="shared" si="10"/>
        <v>0</v>
      </c>
      <c r="AB28">
        <f t="shared" si="11"/>
        <v>0</v>
      </c>
      <c r="AC28">
        <f t="shared" si="12"/>
        <v>0</v>
      </c>
      <c r="AD28">
        <f t="shared" si="6"/>
        <v>0</v>
      </c>
      <c r="AE28">
        <f t="shared" si="7"/>
        <v>0</v>
      </c>
      <c r="AF28">
        <f t="shared" si="0"/>
        <v>20000000</v>
      </c>
    </row>
    <row r="29" spans="1:32" x14ac:dyDescent="0.35">
      <c r="A29" s="1">
        <v>0</v>
      </c>
      <c r="B29" t="s">
        <v>76</v>
      </c>
      <c r="C29" t="s">
        <v>10</v>
      </c>
      <c r="D29" t="s">
        <v>39</v>
      </c>
      <c r="E29" t="s">
        <v>39</v>
      </c>
      <c r="F29" t="s">
        <v>66</v>
      </c>
      <c r="G29">
        <v>29</v>
      </c>
      <c r="H29" t="s">
        <v>77</v>
      </c>
      <c r="I29">
        <v>3.3211297988891602</v>
      </c>
      <c r="J29">
        <v>2.5394833087921143</v>
      </c>
      <c r="K29">
        <v>4</v>
      </c>
      <c r="L29">
        <v>88000000</v>
      </c>
      <c r="M29">
        <v>22000000</v>
      </c>
      <c r="O29" t="s">
        <v>78</v>
      </c>
      <c r="P29">
        <v>2</v>
      </c>
      <c r="Q29">
        <v>45000000</v>
      </c>
      <c r="R29">
        <v>22500000</v>
      </c>
      <c r="S29">
        <f t="shared" si="8"/>
        <v>0</v>
      </c>
      <c r="T29">
        <f t="shared" si="9"/>
        <v>1</v>
      </c>
      <c r="U29">
        <f t="shared" si="1"/>
        <v>0</v>
      </c>
      <c r="V29">
        <v>0</v>
      </c>
      <c r="W29">
        <f t="shared" si="2"/>
        <v>0</v>
      </c>
      <c r="X29">
        <f t="shared" si="3"/>
        <v>0</v>
      </c>
      <c r="Y29">
        <f t="shared" si="4"/>
        <v>0</v>
      </c>
      <c r="Z29">
        <f t="shared" si="5"/>
        <v>0</v>
      </c>
      <c r="AA29">
        <f t="shared" si="10"/>
        <v>0</v>
      </c>
      <c r="AB29">
        <f t="shared" si="11"/>
        <v>0</v>
      </c>
      <c r="AC29">
        <f t="shared" si="12"/>
        <v>0</v>
      </c>
      <c r="AD29">
        <f t="shared" si="6"/>
        <v>0</v>
      </c>
      <c r="AE29">
        <f t="shared" si="7"/>
        <v>0</v>
      </c>
      <c r="AF29">
        <f t="shared" si="0"/>
        <v>22000000</v>
      </c>
    </row>
    <row r="30" spans="1:32" x14ac:dyDescent="0.35">
      <c r="A30" s="1">
        <v>0</v>
      </c>
      <c r="B30" t="s">
        <v>84</v>
      </c>
      <c r="C30" t="s">
        <v>65</v>
      </c>
      <c r="D30" t="s">
        <v>45</v>
      </c>
      <c r="E30" t="s">
        <v>39</v>
      </c>
      <c r="F30" t="s">
        <v>56</v>
      </c>
      <c r="G30">
        <v>30</v>
      </c>
      <c r="H30" t="s">
        <v>85</v>
      </c>
      <c r="I30">
        <v>3.2152910232543945</v>
      </c>
      <c r="J30">
        <v>2.4824109077453613</v>
      </c>
      <c r="K30">
        <v>4</v>
      </c>
      <c r="L30">
        <v>80000000</v>
      </c>
      <c r="M30">
        <v>20000000</v>
      </c>
      <c r="N30">
        <v>21050000</v>
      </c>
      <c r="O30" t="s">
        <v>86</v>
      </c>
      <c r="P30">
        <v>5</v>
      </c>
      <c r="Q30">
        <v>92500000</v>
      </c>
      <c r="R30">
        <v>14314441</v>
      </c>
      <c r="S30">
        <f t="shared" si="8"/>
        <v>1</v>
      </c>
      <c r="T30">
        <f t="shared" si="9"/>
        <v>0</v>
      </c>
      <c r="U30">
        <f t="shared" si="1"/>
        <v>0</v>
      </c>
      <c r="V30">
        <v>0</v>
      </c>
      <c r="W30">
        <f t="shared" si="2"/>
        <v>0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10"/>
        <v>1</v>
      </c>
      <c r="AB30">
        <f t="shared" si="11"/>
        <v>0</v>
      </c>
      <c r="AC30">
        <f t="shared" si="12"/>
        <v>1</v>
      </c>
      <c r="AD30">
        <f t="shared" si="6"/>
        <v>0</v>
      </c>
      <c r="AE30">
        <f t="shared" si="7"/>
        <v>0</v>
      </c>
      <c r="AF30">
        <f t="shared" si="0"/>
        <v>20000000</v>
      </c>
    </row>
    <row r="31" spans="1:32" x14ac:dyDescent="0.35">
      <c r="A31" s="1">
        <v>0</v>
      </c>
      <c r="B31" t="s">
        <v>137</v>
      </c>
      <c r="C31" t="s">
        <v>10</v>
      </c>
      <c r="D31" t="s">
        <v>39</v>
      </c>
      <c r="E31" t="s">
        <v>39</v>
      </c>
      <c r="F31" t="s">
        <v>53</v>
      </c>
      <c r="G31">
        <v>32</v>
      </c>
      <c r="H31" t="s">
        <v>138</v>
      </c>
      <c r="I31">
        <v>2.0111303329467773</v>
      </c>
      <c r="J31">
        <v>2.3676526546478271</v>
      </c>
      <c r="K31">
        <v>3</v>
      </c>
      <c r="L31">
        <v>45000000</v>
      </c>
      <c r="M31">
        <v>15000000</v>
      </c>
      <c r="N31">
        <v>21050000</v>
      </c>
      <c r="O31" t="s">
        <v>46</v>
      </c>
      <c r="P31">
        <v>4</v>
      </c>
      <c r="Q31">
        <v>55000000</v>
      </c>
      <c r="R31">
        <v>13750000</v>
      </c>
      <c r="S31">
        <f t="shared" si="8"/>
        <v>1</v>
      </c>
      <c r="T31">
        <f t="shared" si="9"/>
        <v>1</v>
      </c>
      <c r="U31">
        <f t="shared" si="1"/>
        <v>0</v>
      </c>
      <c r="V31">
        <v>0</v>
      </c>
      <c r="W31">
        <f t="shared" si="2"/>
        <v>0</v>
      </c>
      <c r="X31">
        <f t="shared" si="3"/>
        <v>0</v>
      </c>
      <c r="Y31">
        <f t="shared" si="4"/>
        <v>0</v>
      </c>
      <c r="Z31">
        <f t="shared" si="5"/>
        <v>0</v>
      </c>
      <c r="AA31">
        <f t="shared" si="10"/>
        <v>0</v>
      </c>
      <c r="AB31">
        <f t="shared" si="11"/>
        <v>0</v>
      </c>
      <c r="AC31">
        <f t="shared" si="12"/>
        <v>0</v>
      </c>
      <c r="AD31">
        <f t="shared" si="6"/>
        <v>0</v>
      </c>
      <c r="AE31">
        <f t="shared" si="7"/>
        <v>0</v>
      </c>
      <c r="AF31">
        <f t="shared" si="0"/>
        <v>15000000</v>
      </c>
    </row>
    <row r="32" spans="1:32" x14ac:dyDescent="0.35">
      <c r="A32" s="1">
        <v>0</v>
      </c>
      <c r="B32" t="s">
        <v>64</v>
      </c>
      <c r="C32" t="s">
        <v>65</v>
      </c>
      <c r="D32" t="s">
        <v>39</v>
      </c>
      <c r="E32" t="s">
        <v>39</v>
      </c>
      <c r="F32" t="s">
        <v>66</v>
      </c>
      <c r="G32">
        <v>32</v>
      </c>
      <c r="H32" t="s">
        <v>67</v>
      </c>
      <c r="I32">
        <v>3.4158172607421875</v>
      </c>
      <c r="J32">
        <v>2.2135863304138184</v>
      </c>
      <c r="K32">
        <v>3</v>
      </c>
      <c r="L32">
        <v>69000000</v>
      </c>
      <c r="M32">
        <v>23000000</v>
      </c>
      <c r="N32">
        <v>21050000</v>
      </c>
      <c r="O32" t="s">
        <v>66</v>
      </c>
      <c r="P32">
        <v>3</v>
      </c>
      <c r="Q32">
        <v>66000000</v>
      </c>
      <c r="R32">
        <v>19957137</v>
      </c>
      <c r="S32">
        <f t="shared" si="8"/>
        <v>1</v>
      </c>
      <c r="T32">
        <f t="shared" si="9"/>
        <v>0</v>
      </c>
      <c r="U32">
        <f t="shared" si="1"/>
        <v>0</v>
      </c>
      <c r="V32">
        <v>0</v>
      </c>
      <c r="W32">
        <f t="shared" si="2"/>
        <v>0</v>
      </c>
      <c r="X32">
        <f t="shared" si="3"/>
        <v>0</v>
      </c>
      <c r="Y32">
        <f t="shared" si="4"/>
        <v>0</v>
      </c>
      <c r="Z32">
        <f t="shared" si="5"/>
        <v>0</v>
      </c>
      <c r="AA32">
        <f t="shared" si="10"/>
        <v>1</v>
      </c>
      <c r="AB32">
        <f t="shared" si="11"/>
        <v>0</v>
      </c>
      <c r="AC32">
        <f t="shared" si="12"/>
        <v>1</v>
      </c>
      <c r="AD32">
        <f t="shared" si="6"/>
        <v>0</v>
      </c>
      <c r="AE32">
        <f t="shared" si="7"/>
        <v>0</v>
      </c>
      <c r="AF32">
        <f t="shared" si="0"/>
        <v>23000000</v>
      </c>
    </row>
    <row r="33" spans="1:32" x14ac:dyDescent="0.35">
      <c r="A33" s="1">
        <v>0</v>
      </c>
      <c r="B33" t="s">
        <v>215</v>
      </c>
      <c r="C33" t="s">
        <v>10</v>
      </c>
      <c r="D33" t="s">
        <v>39</v>
      </c>
      <c r="E33" t="s">
        <v>39</v>
      </c>
      <c r="F33" t="s">
        <v>34</v>
      </c>
      <c r="G33">
        <v>32</v>
      </c>
      <c r="H33" t="s">
        <v>216</v>
      </c>
      <c r="I33">
        <v>1.1604137420654297</v>
      </c>
      <c r="J33">
        <v>2.1516938209533691</v>
      </c>
      <c r="K33">
        <v>2</v>
      </c>
      <c r="L33">
        <v>20000000</v>
      </c>
      <c r="M33">
        <v>10000000</v>
      </c>
      <c r="O33" t="s">
        <v>36</v>
      </c>
      <c r="P33">
        <v>3</v>
      </c>
      <c r="Q33">
        <v>38000000</v>
      </c>
      <c r="R33">
        <v>12666666.66666667</v>
      </c>
      <c r="S33">
        <f t="shared" si="8"/>
        <v>0</v>
      </c>
      <c r="T33">
        <f t="shared" si="9"/>
        <v>1</v>
      </c>
      <c r="U33">
        <f t="shared" si="1"/>
        <v>0</v>
      </c>
      <c r="V33"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A33">
        <f t="shared" si="10"/>
        <v>0</v>
      </c>
      <c r="AB33">
        <f t="shared" si="11"/>
        <v>0</v>
      </c>
      <c r="AC33">
        <f t="shared" si="12"/>
        <v>0</v>
      </c>
      <c r="AD33">
        <f t="shared" si="6"/>
        <v>0</v>
      </c>
      <c r="AE33">
        <f t="shared" si="7"/>
        <v>0</v>
      </c>
      <c r="AF33">
        <f t="shared" si="0"/>
        <v>10000000</v>
      </c>
    </row>
    <row r="34" spans="1:32" x14ac:dyDescent="0.35">
      <c r="A34" s="1">
        <v>0</v>
      </c>
      <c r="B34" t="s">
        <v>80</v>
      </c>
      <c r="C34" t="s">
        <v>10</v>
      </c>
      <c r="D34" t="s">
        <v>39</v>
      </c>
      <c r="E34" t="s">
        <v>39</v>
      </c>
      <c r="F34" t="s">
        <v>81</v>
      </c>
      <c r="G34">
        <v>33</v>
      </c>
      <c r="H34" t="s">
        <v>82</v>
      </c>
      <c r="I34">
        <v>3.3198311328887939</v>
      </c>
      <c r="J34">
        <v>2.1513991355895996</v>
      </c>
      <c r="K34">
        <v>3</v>
      </c>
      <c r="L34">
        <v>54000000</v>
      </c>
      <c r="M34">
        <v>18000000</v>
      </c>
      <c r="O34" t="s">
        <v>81</v>
      </c>
      <c r="P34">
        <v>3</v>
      </c>
      <c r="Q34">
        <v>51000000</v>
      </c>
      <c r="R34">
        <v>17000000</v>
      </c>
      <c r="S34">
        <f t="shared" si="8"/>
        <v>0</v>
      </c>
      <c r="T34">
        <f t="shared" si="9"/>
        <v>1</v>
      </c>
      <c r="U34">
        <f t="shared" si="1"/>
        <v>0</v>
      </c>
      <c r="V34"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A34">
        <f t="shared" si="10"/>
        <v>0</v>
      </c>
      <c r="AB34">
        <f t="shared" si="11"/>
        <v>0</v>
      </c>
      <c r="AC34">
        <f t="shared" si="12"/>
        <v>0</v>
      </c>
      <c r="AD34">
        <f t="shared" si="6"/>
        <v>0</v>
      </c>
      <c r="AE34">
        <f t="shared" si="7"/>
        <v>0</v>
      </c>
      <c r="AF34">
        <f t="shared" si="0"/>
        <v>18000000</v>
      </c>
    </row>
    <row r="35" spans="1:32" x14ac:dyDescent="0.35">
      <c r="A35" s="1">
        <v>0</v>
      </c>
      <c r="B35" t="s">
        <v>337</v>
      </c>
      <c r="C35" t="s">
        <v>10</v>
      </c>
      <c r="D35" t="s">
        <v>39</v>
      </c>
      <c r="E35" t="s">
        <v>39</v>
      </c>
      <c r="F35" t="s">
        <v>97</v>
      </c>
      <c r="G35">
        <v>40</v>
      </c>
      <c r="H35" t="s">
        <v>338</v>
      </c>
      <c r="I35">
        <v>0.60618424415588379</v>
      </c>
      <c r="J35">
        <v>1.9847042560577393</v>
      </c>
      <c r="K35">
        <v>1</v>
      </c>
      <c r="L35">
        <v>18000000</v>
      </c>
      <c r="M35">
        <v>18000000</v>
      </c>
      <c r="O35" t="s">
        <v>86</v>
      </c>
      <c r="P35">
        <v>1</v>
      </c>
      <c r="Q35">
        <v>15500000</v>
      </c>
      <c r="R35">
        <v>15500000</v>
      </c>
      <c r="S35">
        <f t="shared" si="8"/>
        <v>0</v>
      </c>
      <c r="T35">
        <f t="shared" si="9"/>
        <v>1</v>
      </c>
      <c r="U35">
        <f t="shared" si="1"/>
        <v>0</v>
      </c>
      <c r="V35">
        <v>0</v>
      </c>
      <c r="W35">
        <f t="shared" si="2"/>
        <v>0</v>
      </c>
      <c r="X35">
        <f t="shared" si="3"/>
        <v>0</v>
      </c>
      <c r="Y35">
        <f t="shared" si="4"/>
        <v>0</v>
      </c>
      <c r="Z35">
        <f t="shared" si="5"/>
        <v>0</v>
      </c>
      <c r="AA35">
        <f t="shared" si="10"/>
        <v>0</v>
      </c>
      <c r="AB35">
        <f t="shared" si="11"/>
        <v>0</v>
      </c>
      <c r="AC35">
        <f t="shared" si="12"/>
        <v>0</v>
      </c>
      <c r="AD35">
        <f t="shared" si="6"/>
        <v>0</v>
      </c>
      <c r="AE35">
        <f t="shared" si="7"/>
        <v>0</v>
      </c>
      <c r="AF35">
        <f t="shared" si="0"/>
        <v>18000000</v>
      </c>
    </row>
    <row r="36" spans="1:32" x14ac:dyDescent="0.35">
      <c r="A36" s="1">
        <v>0</v>
      </c>
      <c r="B36" t="s">
        <v>105</v>
      </c>
      <c r="C36" t="s">
        <v>10</v>
      </c>
      <c r="D36" t="s">
        <v>39</v>
      </c>
      <c r="E36" t="s">
        <v>33</v>
      </c>
      <c r="F36" t="s">
        <v>36</v>
      </c>
      <c r="G36">
        <v>33</v>
      </c>
      <c r="H36" t="s">
        <v>106</v>
      </c>
      <c r="I36">
        <v>2.7818140983581543</v>
      </c>
      <c r="J36">
        <v>1.8057085275650024</v>
      </c>
      <c r="K36">
        <v>3</v>
      </c>
      <c r="L36">
        <v>60000000</v>
      </c>
      <c r="M36">
        <v>20000000</v>
      </c>
      <c r="N36">
        <v>21050000</v>
      </c>
      <c r="O36" t="s">
        <v>36</v>
      </c>
      <c r="P36">
        <v>3</v>
      </c>
      <c r="Q36">
        <v>75000000</v>
      </c>
      <c r="R36">
        <v>22009731</v>
      </c>
      <c r="S36">
        <f t="shared" si="8"/>
        <v>1</v>
      </c>
      <c r="T36">
        <f t="shared" si="9"/>
        <v>1</v>
      </c>
      <c r="U36">
        <f t="shared" si="1"/>
        <v>0</v>
      </c>
      <c r="V36">
        <v>0</v>
      </c>
      <c r="W36">
        <f t="shared" si="2"/>
        <v>0</v>
      </c>
      <c r="X36">
        <f t="shared" si="3"/>
        <v>0</v>
      </c>
      <c r="Y36">
        <f t="shared" si="4"/>
        <v>0</v>
      </c>
      <c r="Z36">
        <f t="shared" si="5"/>
        <v>0</v>
      </c>
      <c r="AA36">
        <f t="shared" si="10"/>
        <v>0</v>
      </c>
      <c r="AB36">
        <f t="shared" si="11"/>
        <v>0</v>
      </c>
      <c r="AC36">
        <f t="shared" si="12"/>
        <v>0</v>
      </c>
      <c r="AD36">
        <f t="shared" si="6"/>
        <v>0</v>
      </c>
      <c r="AE36">
        <f t="shared" si="7"/>
        <v>0</v>
      </c>
      <c r="AF36">
        <f t="shared" si="0"/>
        <v>20000000</v>
      </c>
    </row>
    <row r="37" spans="1:32" x14ac:dyDescent="0.35">
      <c r="A37" s="1">
        <v>0</v>
      </c>
      <c r="B37" t="s">
        <v>69</v>
      </c>
      <c r="C37" t="s">
        <v>10</v>
      </c>
      <c r="D37" t="s">
        <v>33</v>
      </c>
      <c r="E37" t="s">
        <v>39</v>
      </c>
      <c r="F37" t="s">
        <v>70</v>
      </c>
      <c r="G37">
        <v>34</v>
      </c>
      <c r="H37" t="s">
        <v>71</v>
      </c>
      <c r="I37">
        <v>3.3970968723297119</v>
      </c>
      <c r="J37">
        <v>1.7099204063415527</v>
      </c>
      <c r="K37">
        <v>2</v>
      </c>
      <c r="L37">
        <v>32000000</v>
      </c>
      <c r="M37">
        <v>16000000</v>
      </c>
      <c r="N37">
        <v>21050000</v>
      </c>
      <c r="O37" t="s">
        <v>70</v>
      </c>
      <c r="P37">
        <v>1</v>
      </c>
      <c r="Q37">
        <v>21050000</v>
      </c>
      <c r="R37">
        <v>21050000</v>
      </c>
      <c r="S37">
        <f t="shared" si="8"/>
        <v>1</v>
      </c>
      <c r="T37">
        <f t="shared" si="9"/>
        <v>1</v>
      </c>
      <c r="U37">
        <f t="shared" si="1"/>
        <v>0</v>
      </c>
      <c r="V37">
        <v>0</v>
      </c>
      <c r="W37">
        <f t="shared" si="2"/>
        <v>0</v>
      </c>
      <c r="X37">
        <f t="shared" si="3"/>
        <v>0</v>
      </c>
      <c r="Y37">
        <f t="shared" si="4"/>
        <v>0</v>
      </c>
      <c r="Z37">
        <f t="shared" si="5"/>
        <v>0</v>
      </c>
      <c r="AA37">
        <f t="shared" si="10"/>
        <v>0</v>
      </c>
      <c r="AB37">
        <f t="shared" si="11"/>
        <v>0</v>
      </c>
      <c r="AC37">
        <f t="shared" si="12"/>
        <v>0</v>
      </c>
      <c r="AD37">
        <f t="shared" si="6"/>
        <v>0</v>
      </c>
      <c r="AE37">
        <f t="shared" si="7"/>
        <v>0</v>
      </c>
      <c r="AF37">
        <f t="shared" si="0"/>
        <v>16000000</v>
      </c>
    </row>
    <row r="38" spans="1:32" x14ac:dyDescent="0.35">
      <c r="A38" s="1">
        <v>0</v>
      </c>
      <c r="B38" t="s">
        <v>269</v>
      </c>
      <c r="C38" t="s">
        <v>10</v>
      </c>
      <c r="D38" t="s">
        <v>33</v>
      </c>
      <c r="E38" t="s">
        <v>33</v>
      </c>
      <c r="F38" t="s">
        <v>102</v>
      </c>
      <c r="G38">
        <v>34</v>
      </c>
      <c r="H38" t="s">
        <v>270</v>
      </c>
      <c r="I38">
        <v>0.89194542169570923</v>
      </c>
      <c r="J38">
        <v>1.7064907550811768</v>
      </c>
      <c r="K38">
        <v>2</v>
      </c>
      <c r="L38">
        <v>18000000</v>
      </c>
      <c r="M38">
        <v>9000000</v>
      </c>
      <c r="O38" t="s">
        <v>104</v>
      </c>
      <c r="P38">
        <v>2</v>
      </c>
      <c r="Q38">
        <v>29000000</v>
      </c>
      <c r="R38">
        <v>14500000</v>
      </c>
      <c r="S38">
        <f t="shared" si="8"/>
        <v>0</v>
      </c>
      <c r="T38">
        <f t="shared" si="9"/>
        <v>1</v>
      </c>
      <c r="U38">
        <f t="shared" si="1"/>
        <v>0</v>
      </c>
      <c r="V38">
        <v>0</v>
      </c>
      <c r="W38">
        <f t="shared" si="2"/>
        <v>0</v>
      </c>
      <c r="X38">
        <f t="shared" si="3"/>
        <v>0</v>
      </c>
      <c r="Y38">
        <f t="shared" si="4"/>
        <v>0</v>
      </c>
      <c r="Z38">
        <f t="shared" si="5"/>
        <v>0</v>
      </c>
      <c r="AA38">
        <f t="shared" si="10"/>
        <v>0</v>
      </c>
      <c r="AB38">
        <f t="shared" si="11"/>
        <v>0</v>
      </c>
      <c r="AC38">
        <f t="shared" si="12"/>
        <v>0</v>
      </c>
      <c r="AD38">
        <f t="shared" si="6"/>
        <v>0</v>
      </c>
      <c r="AE38">
        <f t="shared" si="7"/>
        <v>0</v>
      </c>
      <c r="AF38">
        <f t="shared" si="0"/>
        <v>9000000</v>
      </c>
    </row>
    <row r="39" spans="1:32" x14ac:dyDescent="0.35">
      <c r="A39" s="1">
        <v>0</v>
      </c>
      <c r="B39" t="s">
        <v>94</v>
      </c>
      <c r="C39" t="s">
        <v>95</v>
      </c>
      <c r="D39" t="s">
        <v>33</v>
      </c>
      <c r="E39" t="s">
        <v>33</v>
      </c>
      <c r="F39" t="s">
        <v>58</v>
      </c>
      <c r="G39">
        <v>33</v>
      </c>
      <c r="H39" t="s">
        <v>96</v>
      </c>
      <c r="I39">
        <v>2.9881842136383057</v>
      </c>
      <c r="J39">
        <v>1.6810855865478516</v>
      </c>
      <c r="K39">
        <v>2</v>
      </c>
      <c r="L39">
        <v>28000000</v>
      </c>
      <c r="M39">
        <v>14000000</v>
      </c>
      <c r="O39" t="s">
        <v>97</v>
      </c>
      <c r="P39">
        <v>2</v>
      </c>
      <c r="Q39">
        <v>37000000</v>
      </c>
      <c r="R39">
        <v>18500000</v>
      </c>
      <c r="S39">
        <f t="shared" si="8"/>
        <v>0</v>
      </c>
      <c r="T39">
        <f t="shared" si="9"/>
        <v>0</v>
      </c>
      <c r="U39">
        <f t="shared" si="1"/>
        <v>0</v>
      </c>
      <c r="V39">
        <v>0</v>
      </c>
      <c r="W39">
        <f t="shared" si="2"/>
        <v>0</v>
      </c>
      <c r="X39">
        <f t="shared" si="3"/>
        <v>0</v>
      </c>
      <c r="Y39">
        <f t="shared" si="4"/>
        <v>0</v>
      </c>
      <c r="Z39">
        <f t="shared" si="5"/>
        <v>0</v>
      </c>
      <c r="AA39">
        <f t="shared" si="10"/>
        <v>1</v>
      </c>
      <c r="AB39">
        <f t="shared" si="11"/>
        <v>0</v>
      </c>
      <c r="AC39">
        <f t="shared" si="12"/>
        <v>1</v>
      </c>
      <c r="AD39">
        <f t="shared" si="6"/>
        <v>0</v>
      </c>
      <c r="AE39">
        <f t="shared" si="7"/>
        <v>1</v>
      </c>
      <c r="AF39">
        <f t="shared" si="0"/>
        <v>14000000</v>
      </c>
    </row>
    <row r="40" spans="1:32" x14ac:dyDescent="0.35">
      <c r="A40" s="1">
        <v>0</v>
      </c>
      <c r="B40" t="s">
        <v>127</v>
      </c>
      <c r="C40" t="s">
        <v>10</v>
      </c>
      <c r="D40" t="s">
        <v>39</v>
      </c>
      <c r="E40" t="s">
        <v>39</v>
      </c>
      <c r="F40" t="s">
        <v>36</v>
      </c>
      <c r="G40">
        <v>31</v>
      </c>
      <c r="H40" t="s">
        <v>128</v>
      </c>
      <c r="I40">
        <v>2.1073484420776367</v>
      </c>
      <c r="J40">
        <v>1.5633713006973267</v>
      </c>
      <c r="K40">
        <v>3</v>
      </c>
      <c r="L40">
        <v>48000000</v>
      </c>
      <c r="M40">
        <v>16000000</v>
      </c>
      <c r="N40">
        <v>21050000</v>
      </c>
      <c r="O40" t="s">
        <v>129</v>
      </c>
      <c r="P40">
        <v>3</v>
      </c>
      <c r="Q40">
        <v>67000000</v>
      </c>
      <c r="R40">
        <v>22333333.333333328</v>
      </c>
      <c r="S40">
        <f t="shared" si="8"/>
        <v>1</v>
      </c>
      <c r="T40">
        <f t="shared" si="9"/>
        <v>1</v>
      </c>
      <c r="U40">
        <f t="shared" si="1"/>
        <v>0</v>
      </c>
      <c r="V40">
        <v>0</v>
      </c>
      <c r="W40">
        <f t="shared" si="2"/>
        <v>0</v>
      </c>
      <c r="X40">
        <f t="shared" si="3"/>
        <v>0</v>
      </c>
      <c r="Y40">
        <f t="shared" si="4"/>
        <v>0</v>
      </c>
      <c r="Z40">
        <f t="shared" si="5"/>
        <v>0</v>
      </c>
      <c r="AA40">
        <f t="shared" si="10"/>
        <v>0</v>
      </c>
      <c r="AB40">
        <f t="shared" si="11"/>
        <v>0</v>
      </c>
      <c r="AC40">
        <f t="shared" si="12"/>
        <v>0</v>
      </c>
      <c r="AD40">
        <f t="shared" si="6"/>
        <v>0</v>
      </c>
      <c r="AE40">
        <f t="shared" si="7"/>
        <v>0</v>
      </c>
      <c r="AF40">
        <f t="shared" si="0"/>
        <v>16000000</v>
      </c>
    </row>
    <row r="41" spans="1:32" x14ac:dyDescent="0.35">
      <c r="A41" s="1">
        <v>0</v>
      </c>
      <c r="B41" t="s">
        <v>115</v>
      </c>
      <c r="C41" t="s">
        <v>116</v>
      </c>
      <c r="D41" t="s">
        <v>39</v>
      </c>
      <c r="E41" t="s">
        <v>39</v>
      </c>
      <c r="F41" t="s">
        <v>53</v>
      </c>
      <c r="G41">
        <v>30</v>
      </c>
      <c r="H41" t="s">
        <v>117</v>
      </c>
      <c r="I41">
        <v>2.5528674125671387</v>
      </c>
      <c r="J41">
        <v>1.5265672206878662</v>
      </c>
      <c r="K41">
        <v>3</v>
      </c>
      <c r="L41">
        <v>51000000</v>
      </c>
      <c r="M41">
        <v>17000000</v>
      </c>
      <c r="O41" t="s">
        <v>56</v>
      </c>
      <c r="P41">
        <v>3</v>
      </c>
      <c r="Q41">
        <v>49500000</v>
      </c>
      <c r="R41">
        <v>16500000</v>
      </c>
      <c r="S41">
        <f t="shared" si="8"/>
        <v>0</v>
      </c>
      <c r="T41">
        <f t="shared" si="9"/>
        <v>0</v>
      </c>
      <c r="U41">
        <f t="shared" si="1"/>
        <v>0</v>
      </c>
      <c r="V41">
        <v>0</v>
      </c>
      <c r="W41">
        <f t="shared" si="2"/>
        <v>0</v>
      </c>
      <c r="X41">
        <f t="shared" si="3"/>
        <v>0</v>
      </c>
      <c r="Y41">
        <f t="shared" si="4"/>
        <v>0</v>
      </c>
      <c r="Z41">
        <f t="shared" si="5"/>
        <v>0</v>
      </c>
      <c r="AA41">
        <f t="shared" si="10"/>
        <v>1</v>
      </c>
      <c r="AB41">
        <f t="shared" si="11"/>
        <v>1</v>
      </c>
      <c r="AC41">
        <f t="shared" si="12"/>
        <v>1</v>
      </c>
      <c r="AD41">
        <f t="shared" si="6"/>
        <v>0</v>
      </c>
      <c r="AE41">
        <f t="shared" si="7"/>
        <v>0</v>
      </c>
      <c r="AF41">
        <f t="shared" si="0"/>
        <v>17000000</v>
      </c>
    </row>
    <row r="42" spans="1:32" x14ac:dyDescent="0.35">
      <c r="A42" s="1">
        <v>0</v>
      </c>
      <c r="B42" t="s">
        <v>453</v>
      </c>
      <c r="C42" t="s">
        <v>10</v>
      </c>
      <c r="D42" t="s">
        <v>39</v>
      </c>
      <c r="E42" t="s">
        <v>39</v>
      </c>
      <c r="F42" t="s">
        <v>102</v>
      </c>
      <c r="G42">
        <v>37</v>
      </c>
      <c r="H42" t="s">
        <v>454</v>
      </c>
      <c r="I42">
        <v>0.27441394329071045</v>
      </c>
      <c r="J42">
        <v>1.5192273855209351</v>
      </c>
      <c r="K42">
        <v>1</v>
      </c>
      <c r="L42">
        <v>10000000</v>
      </c>
      <c r="M42">
        <v>10000000</v>
      </c>
      <c r="O42" t="s">
        <v>78</v>
      </c>
      <c r="P42">
        <v>1</v>
      </c>
      <c r="Q42">
        <v>15000000</v>
      </c>
      <c r="R42">
        <v>15000000</v>
      </c>
      <c r="S42">
        <f t="shared" si="8"/>
        <v>0</v>
      </c>
      <c r="T42">
        <f t="shared" si="9"/>
        <v>1</v>
      </c>
      <c r="U42">
        <f t="shared" si="1"/>
        <v>0</v>
      </c>
      <c r="V42">
        <v>0</v>
      </c>
      <c r="W42">
        <f t="shared" si="2"/>
        <v>0</v>
      </c>
      <c r="X42">
        <f t="shared" si="3"/>
        <v>0</v>
      </c>
      <c r="Y42">
        <f t="shared" si="4"/>
        <v>0</v>
      </c>
      <c r="Z42">
        <f t="shared" si="5"/>
        <v>0</v>
      </c>
      <c r="AA42">
        <f t="shared" si="10"/>
        <v>0</v>
      </c>
      <c r="AB42">
        <f t="shared" si="11"/>
        <v>0</v>
      </c>
      <c r="AC42">
        <f t="shared" si="12"/>
        <v>0</v>
      </c>
      <c r="AD42">
        <f t="shared" si="6"/>
        <v>0</v>
      </c>
      <c r="AE42">
        <f t="shared" si="7"/>
        <v>0</v>
      </c>
      <c r="AF42">
        <f t="shared" si="0"/>
        <v>10000000</v>
      </c>
    </row>
    <row r="43" spans="1:32" x14ac:dyDescent="0.35">
      <c r="A43" s="1">
        <v>0</v>
      </c>
      <c r="B43" t="s">
        <v>360</v>
      </c>
      <c r="C43" t="s">
        <v>3</v>
      </c>
      <c r="D43" t="s">
        <v>39</v>
      </c>
      <c r="E43" t="s">
        <v>39</v>
      </c>
      <c r="F43" t="s">
        <v>53</v>
      </c>
      <c r="G43">
        <v>30</v>
      </c>
      <c r="H43" t="s">
        <v>361</v>
      </c>
      <c r="I43">
        <v>0.53368353843688965</v>
      </c>
      <c r="J43">
        <v>1.5189570188522339</v>
      </c>
      <c r="K43">
        <v>2</v>
      </c>
      <c r="L43">
        <v>16000000</v>
      </c>
      <c r="M43">
        <v>8000000</v>
      </c>
      <c r="O43" t="s">
        <v>110</v>
      </c>
      <c r="P43">
        <v>1</v>
      </c>
      <c r="Q43">
        <v>8500000</v>
      </c>
      <c r="R43">
        <v>8500000</v>
      </c>
      <c r="S43">
        <f t="shared" si="8"/>
        <v>0</v>
      </c>
      <c r="T43">
        <f t="shared" si="9"/>
        <v>0</v>
      </c>
      <c r="U43">
        <f t="shared" si="1"/>
        <v>0</v>
      </c>
      <c r="V43">
        <v>1</v>
      </c>
      <c r="W43">
        <f t="shared" si="2"/>
        <v>0</v>
      </c>
      <c r="X43">
        <f t="shared" si="3"/>
        <v>0</v>
      </c>
      <c r="Y43">
        <f t="shared" si="4"/>
        <v>0</v>
      </c>
      <c r="Z43">
        <f t="shared" si="5"/>
        <v>0</v>
      </c>
      <c r="AA43">
        <f t="shared" si="10"/>
        <v>0</v>
      </c>
      <c r="AB43">
        <f t="shared" si="11"/>
        <v>0</v>
      </c>
      <c r="AC43">
        <f t="shared" si="12"/>
        <v>0</v>
      </c>
      <c r="AD43">
        <f t="shared" si="6"/>
        <v>0</v>
      </c>
      <c r="AE43">
        <f t="shared" si="7"/>
        <v>0</v>
      </c>
      <c r="AF43">
        <f t="shared" si="0"/>
        <v>8000000</v>
      </c>
    </row>
    <row r="44" spans="1:32" x14ac:dyDescent="0.35">
      <c r="A44" s="1">
        <v>0</v>
      </c>
      <c r="B44" t="s">
        <v>296</v>
      </c>
      <c r="C44" t="s">
        <v>10</v>
      </c>
      <c r="D44" t="s">
        <v>39</v>
      </c>
      <c r="E44" t="s">
        <v>39</v>
      </c>
      <c r="F44" t="s">
        <v>102</v>
      </c>
      <c r="G44">
        <v>30</v>
      </c>
      <c r="H44" t="s">
        <v>297</v>
      </c>
      <c r="I44">
        <v>0.76937061548233032</v>
      </c>
      <c r="J44">
        <v>1.4984276294708252</v>
      </c>
      <c r="K44">
        <v>2</v>
      </c>
      <c r="L44">
        <v>40000000</v>
      </c>
      <c r="M44">
        <v>20000000</v>
      </c>
      <c r="O44" t="s">
        <v>102</v>
      </c>
      <c r="P44">
        <v>2</v>
      </c>
      <c r="Q44">
        <v>26000000</v>
      </c>
      <c r="R44">
        <v>14555102</v>
      </c>
      <c r="S44">
        <f t="shared" si="8"/>
        <v>0</v>
      </c>
      <c r="T44">
        <f t="shared" si="9"/>
        <v>1</v>
      </c>
      <c r="U44">
        <f t="shared" si="1"/>
        <v>0</v>
      </c>
      <c r="V44">
        <v>0</v>
      </c>
      <c r="W44">
        <f t="shared" si="2"/>
        <v>0</v>
      </c>
      <c r="X44">
        <f t="shared" si="3"/>
        <v>0</v>
      </c>
      <c r="Y44">
        <f t="shared" si="4"/>
        <v>0</v>
      </c>
      <c r="Z44">
        <f t="shared" si="5"/>
        <v>0</v>
      </c>
      <c r="AA44">
        <f t="shared" si="10"/>
        <v>0</v>
      </c>
      <c r="AB44">
        <f t="shared" si="11"/>
        <v>0</v>
      </c>
      <c r="AC44">
        <f t="shared" si="12"/>
        <v>0</v>
      </c>
      <c r="AD44">
        <f t="shared" si="6"/>
        <v>0</v>
      </c>
      <c r="AE44">
        <f t="shared" si="7"/>
        <v>0</v>
      </c>
      <c r="AF44">
        <f t="shared" si="0"/>
        <v>20000000</v>
      </c>
    </row>
    <row r="45" spans="1:32" x14ac:dyDescent="0.35">
      <c r="A45" s="1">
        <v>1</v>
      </c>
      <c r="B45" t="s">
        <v>165</v>
      </c>
      <c r="C45" t="s">
        <v>3</v>
      </c>
      <c r="D45" t="s">
        <v>39</v>
      </c>
      <c r="E45" t="s">
        <v>39</v>
      </c>
      <c r="F45" t="s">
        <v>97</v>
      </c>
      <c r="G45">
        <v>30</v>
      </c>
      <c r="H45" t="s">
        <v>166</v>
      </c>
      <c r="I45">
        <v>1.769400954246521</v>
      </c>
      <c r="J45">
        <v>1.4981144666671753</v>
      </c>
      <c r="L45">
        <v>0</v>
      </c>
      <c r="O45" t="s">
        <v>104</v>
      </c>
      <c r="P45">
        <v>2</v>
      </c>
      <c r="Q45">
        <v>11500000</v>
      </c>
      <c r="R45">
        <v>5750000</v>
      </c>
      <c r="S45">
        <f t="shared" si="8"/>
        <v>0</v>
      </c>
      <c r="T45">
        <f t="shared" si="9"/>
        <v>0</v>
      </c>
      <c r="U45">
        <f t="shared" si="1"/>
        <v>0</v>
      </c>
      <c r="V45">
        <v>1</v>
      </c>
      <c r="W45">
        <f t="shared" si="2"/>
        <v>0</v>
      </c>
      <c r="X45">
        <f t="shared" si="3"/>
        <v>0</v>
      </c>
      <c r="Y45">
        <f t="shared" si="4"/>
        <v>0</v>
      </c>
      <c r="Z45">
        <f t="shared" si="5"/>
        <v>0</v>
      </c>
      <c r="AA45">
        <f t="shared" si="10"/>
        <v>0</v>
      </c>
      <c r="AB45">
        <f t="shared" si="11"/>
        <v>0</v>
      </c>
      <c r="AC45">
        <f t="shared" si="12"/>
        <v>0</v>
      </c>
      <c r="AD45">
        <f t="shared" si="6"/>
        <v>0</v>
      </c>
      <c r="AE45">
        <f t="shared" si="7"/>
        <v>0</v>
      </c>
      <c r="AF45">
        <f t="shared" si="0"/>
        <v>5750000</v>
      </c>
    </row>
    <row r="46" spans="1:32" x14ac:dyDescent="0.35">
      <c r="A46" s="1">
        <v>0</v>
      </c>
      <c r="B46" t="s">
        <v>123</v>
      </c>
      <c r="C46" t="s">
        <v>10</v>
      </c>
      <c r="D46" t="s">
        <v>33</v>
      </c>
      <c r="E46" t="s">
        <v>33</v>
      </c>
      <c r="F46" t="s">
        <v>97</v>
      </c>
      <c r="G46">
        <v>34</v>
      </c>
      <c r="H46" t="s">
        <v>124</v>
      </c>
      <c r="I46">
        <v>2.1737463474273682</v>
      </c>
      <c r="J46">
        <v>1.4836716651916504</v>
      </c>
      <c r="K46">
        <v>2</v>
      </c>
      <c r="L46">
        <v>25000000</v>
      </c>
      <c r="M46">
        <v>12500000</v>
      </c>
      <c r="O46" t="s">
        <v>125</v>
      </c>
      <c r="P46">
        <v>1</v>
      </c>
      <c r="Q46">
        <v>5250000</v>
      </c>
      <c r="R46">
        <v>5250000</v>
      </c>
      <c r="S46">
        <f t="shared" si="8"/>
        <v>0</v>
      </c>
      <c r="T46">
        <f t="shared" si="9"/>
        <v>1</v>
      </c>
      <c r="U46">
        <f t="shared" si="1"/>
        <v>0</v>
      </c>
      <c r="V46">
        <v>0</v>
      </c>
      <c r="W46">
        <f t="shared" si="2"/>
        <v>0</v>
      </c>
      <c r="X46">
        <f t="shared" si="3"/>
        <v>0</v>
      </c>
      <c r="Y46">
        <f t="shared" si="4"/>
        <v>0</v>
      </c>
      <c r="Z46">
        <f t="shared" si="5"/>
        <v>0</v>
      </c>
      <c r="AA46">
        <f t="shared" si="10"/>
        <v>0</v>
      </c>
      <c r="AB46">
        <f t="shared" si="11"/>
        <v>0</v>
      </c>
      <c r="AC46">
        <f t="shared" si="12"/>
        <v>0</v>
      </c>
      <c r="AD46">
        <f t="shared" si="6"/>
        <v>0</v>
      </c>
      <c r="AE46">
        <f t="shared" si="7"/>
        <v>0</v>
      </c>
      <c r="AF46">
        <f t="shared" si="0"/>
        <v>12500000</v>
      </c>
    </row>
    <row r="47" spans="1:32" x14ac:dyDescent="0.35">
      <c r="A47" s="1">
        <v>0</v>
      </c>
      <c r="B47" t="s">
        <v>312</v>
      </c>
      <c r="C47" t="s">
        <v>10</v>
      </c>
      <c r="D47" t="s">
        <v>39</v>
      </c>
      <c r="E47" t="s">
        <v>39</v>
      </c>
      <c r="F47" t="s">
        <v>51</v>
      </c>
      <c r="G47">
        <v>42</v>
      </c>
      <c r="H47" t="s">
        <v>313</v>
      </c>
      <c r="I47">
        <v>0.67786359786987305</v>
      </c>
      <c r="J47">
        <v>1.3841989040374756</v>
      </c>
      <c r="K47">
        <v>1</v>
      </c>
      <c r="L47">
        <v>15000000</v>
      </c>
      <c r="M47">
        <v>15000000</v>
      </c>
      <c r="O47" t="s">
        <v>42</v>
      </c>
      <c r="P47">
        <v>1</v>
      </c>
      <c r="Q47">
        <v>15000000</v>
      </c>
      <c r="R47">
        <v>15000000</v>
      </c>
      <c r="S47">
        <f t="shared" si="8"/>
        <v>0</v>
      </c>
      <c r="T47">
        <f t="shared" si="9"/>
        <v>1</v>
      </c>
      <c r="U47">
        <f t="shared" si="1"/>
        <v>0</v>
      </c>
      <c r="V47">
        <v>0</v>
      </c>
      <c r="W47">
        <f t="shared" si="2"/>
        <v>0</v>
      </c>
      <c r="X47">
        <f t="shared" si="3"/>
        <v>0</v>
      </c>
      <c r="Y47">
        <f t="shared" si="4"/>
        <v>0</v>
      </c>
      <c r="Z47">
        <f t="shared" si="5"/>
        <v>0</v>
      </c>
      <c r="AA47">
        <f t="shared" si="10"/>
        <v>0</v>
      </c>
      <c r="AB47">
        <f t="shared" si="11"/>
        <v>0</v>
      </c>
      <c r="AC47">
        <f t="shared" si="12"/>
        <v>0</v>
      </c>
      <c r="AD47">
        <f t="shared" si="6"/>
        <v>0</v>
      </c>
      <c r="AE47">
        <f t="shared" si="7"/>
        <v>0</v>
      </c>
      <c r="AF47">
        <f t="shared" si="0"/>
        <v>15000000</v>
      </c>
    </row>
    <row r="48" spans="1:32" x14ac:dyDescent="0.35">
      <c r="A48" s="1">
        <v>0</v>
      </c>
      <c r="B48" t="s">
        <v>624</v>
      </c>
      <c r="C48" t="s">
        <v>10</v>
      </c>
      <c r="D48" t="s">
        <v>39</v>
      </c>
      <c r="E48" t="s">
        <v>39</v>
      </c>
      <c r="F48" t="s">
        <v>66</v>
      </c>
      <c r="G48">
        <v>30</v>
      </c>
      <c r="H48" t="s">
        <v>625</v>
      </c>
      <c r="I48">
        <v>-9.5986157655715942E-2</v>
      </c>
      <c r="J48">
        <v>1.3838760852813721</v>
      </c>
      <c r="K48">
        <v>1</v>
      </c>
      <c r="L48">
        <v>15000000</v>
      </c>
      <c r="M48">
        <v>15000000</v>
      </c>
      <c r="O48" t="s">
        <v>53</v>
      </c>
      <c r="P48">
        <v>1</v>
      </c>
      <c r="Q48">
        <v>21050000</v>
      </c>
      <c r="R48">
        <v>21050000</v>
      </c>
      <c r="S48">
        <f t="shared" si="8"/>
        <v>0</v>
      </c>
      <c r="T48">
        <f t="shared" si="9"/>
        <v>1</v>
      </c>
      <c r="U48">
        <f t="shared" si="1"/>
        <v>0</v>
      </c>
      <c r="V48">
        <v>0</v>
      </c>
      <c r="W48">
        <f t="shared" si="2"/>
        <v>0</v>
      </c>
      <c r="X48">
        <f t="shared" si="3"/>
        <v>0</v>
      </c>
      <c r="Y48">
        <f t="shared" si="4"/>
        <v>0</v>
      </c>
      <c r="Z48">
        <f t="shared" si="5"/>
        <v>0</v>
      </c>
      <c r="AA48">
        <f t="shared" si="10"/>
        <v>0</v>
      </c>
      <c r="AB48">
        <f t="shared" si="11"/>
        <v>0</v>
      </c>
      <c r="AC48">
        <f t="shared" si="12"/>
        <v>0</v>
      </c>
      <c r="AD48">
        <f t="shared" si="6"/>
        <v>0</v>
      </c>
      <c r="AE48">
        <f t="shared" si="7"/>
        <v>0</v>
      </c>
      <c r="AF48">
        <f t="shared" si="0"/>
        <v>15000000</v>
      </c>
    </row>
    <row r="49" spans="1:32" x14ac:dyDescent="0.35">
      <c r="A49" s="1">
        <v>0</v>
      </c>
      <c r="B49" t="s">
        <v>624</v>
      </c>
      <c r="C49" t="s">
        <v>10</v>
      </c>
      <c r="D49" t="s">
        <v>39</v>
      </c>
      <c r="E49" t="s">
        <v>39</v>
      </c>
      <c r="F49" t="s">
        <v>66</v>
      </c>
      <c r="G49">
        <v>30</v>
      </c>
      <c r="H49" t="s">
        <v>625</v>
      </c>
      <c r="I49">
        <v>-9.5986157655715942E-2</v>
      </c>
      <c r="J49">
        <v>1.3838760852813721</v>
      </c>
      <c r="K49">
        <v>1</v>
      </c>
      <c r="L49">
        <v>15000000</v>
      </c>
      <c r="M49">
        <v>15000000</v>
      </c>
      <c r="O49" t="s">
        <v>134</v>
      </c>
      <c r="P49">
        <v>1</v>
      </c>
      <c r="Q49">
        <v>69462</v>
      </c>
      <c r="R49">
        <v>69462</v>
      </c>
      <c r="S49">
        <f t="shared" si="8"/>
        <v>0</v>
      </c>
      <c r="T49">
        <f t="shared" si="9"/>
        <v>1</v>
      </c>
      <c r="U49">
        <f t="shared" si="1"/>
        <v>0</v>
      </c>
      <c r="V49">
        <v>0</v>
      </c>
      <c r="W49">
        <f t="shared" si="2"/>
        <v>0</v>
      </c>
      <c r="X49">
        <f t="shared" si="3"/>
        <v>0</v>
      </c>
      <c r="Y49">
        <f t="shared" si="4"/>
        <v>0</v>
      </c>
      <c r="Z49">
        <f t="shared" si="5"/>
        <v>0</v>
      </c>
      <c r="AA49">
        <f t="shared" si="10"/>
        <v>0</v>
      </c>
      <c r="AB49">
        <f t="shared" si="11"/>
        <v>0</v>
      </c>
      <c r="AC49">
        <f t="shared" si="12"/>
        <v>0</v>
      </c>
      <c r="AD49">
        <f t="shared" si="6"/>
        <v>0</v>
      </c>
      <c r="AE49">
        <f t="shared" si="7"/>
        <v>0</v>
      </c>
      <c r="AF49">
        <f t="shared" si="0"/>
        <v>15000000</v>
      </c>
    </row>
    <row r="50" spans="1:32" x14ac:dyDescent="0.35">
      <c r="A50" s="1">
        <v>0</v>
      </c>
      <c r="B50" t="s">
        <v>228</v>
      </c>
      <c r="C50" t="s">
        <v>10</v>
      </c>
      <c r="D50" t="s">
        <v>39</v>
      </c>
      <c r="E50" t="s">
        <v>39</v>
      </c>
      <c r="F50" t="s">
        <v>48</v>
      </c>
      <c r="G50">
        <v>41</v>
      </c>
      <c r="H50" t="s">
        <v>229</v>
      </c>
      <c r="I50">
        <v>1.1207062005996704</v>
      </c>
      <c r="J50">
        <v>1.3801397085189819</v>
      </c>
      <c r="K50">
        <v>1</v>
      </c>
      <c r="L50">
        <v>14000000</v>
      </c>
      <c r="M50">
        <v>14000000</v>
      </c>
      <c r="O50" t="s">
        <v>56</v>
      </c>
      <c r="P50">
        <v>1</v>
      </c>
      <c r="Q50">
        <v>15000000</v>
      </c>
      <c r="R50">
        <v>15000000</v>
      </c>
      <c r="S50">
        <f t="shared" si="8"/>
        <v>0</v>
      </c>
      <c r="T50">
        <f t="shared" si="9"/>
        <v>1</v>
      </c>
      <c r="U50">
        <f t="shared" si="1"/>
        <v>0</v>
      </c>
      <c r="V50">
        <v>0</v>
      </c>
      <c r="W50">
        <f t="shared" si="2"/>
        <v>0</v>
      </c>
      <c r="X50">
        <f t="shared" si="3"/>
        <v>0</v>
      </c>
      <c r="Y50">
        <f t="shared" si="4"/>
        <v>0</v>
      </c>
      <c r="Z50">
        <f t="shared" si="5"/>
        <v>0</v>
      </c>
      <c r="AA50">
        <f t="shared" si="10"/>
        <v>0</v>
      </c>
      <c r="AB50">
        <f t="shared" si="11"/>
        <v>0</v>
      </c>
      <c r="AC50">
        <f t="shared" si="12"/>
        <v>0</v>
      </c>
      <c r="AD50">
        <f t="shared" si="6"/>
        <v>0</v>
      </c>
      <c r="AE50">
        <f t="shared" si="7"/>
        <v>0</v>
      </c>
      <c r="AF50">
        <f t="shared" si="0"/>
        <v>14000000</v>
      </c>
    </row>
    <row r="51" spans="1:32" x14ac:dyDescent="0.35">
      <c r="A51" s="1">
        <v>0</v>
      </c>
      <c r="B51" t="s">
        <v>176</v>
      </c>
      <c r="C51" t="s">
        <v>3</v>
      </c>
      <c r="D51" t="s">
        <v>39</v>
      </c>
      <c r="E51" t="s">
        <v>39</v>
      </c>
      <c r="F51" t="s">
        <v>46</v>
      </c>
      <c r="G51">
        <v>35</v>
      </c>
      <c r="H51" t="s">
        <v>177</v>
      </c>
      <c r="I51">
        <v>1.5625476837158203</v>
      </c>
      <c r="J51">
        <v>1.2703454494476318</v>
      </c>
      <c r="L51">
        <v>0</v>
      </c>
      <c r="O51" t="s">
        <v>97</v>
      </c>
      <c r="P51">
        <v>2</v>
      </c>
      <c r="Q51">
        <v>13500000</v>
      </c>
      <c r="R51">
        <v>6750000</v>
      </c>
      <c r="S51">
        <f t="shared" si="8"/>
        <v>0</v>
      </c>
      <c r="T51">
        <f t="shared" si="9"/>
        <v>0</v>
      </c>
      <c r="U51">
        <f t="shared" si="1"/>
        <v>0</v>
      </c>
      <c r="V51">
        <v>1</v>
      </c>
      <c r="W51">
        <f t="shared" si="2"/>
        <v>0</v>
      </c>
      <c r="X51">
        <f t="shared" si="3"/>
        <v>0</v>
      </c>
      <c r="Y51">
        <f t="shared" si="4"/>
        <v>0</v>
      </c>
      <c r="Z51">
        <f t="shared" si="5"/>
        <v>0</v>
      </c>
      <c r="AA51">
        <f t="shared" si="10"/>
        <v>0</v>
      </c>
      <c r="AB51">
        <f t="shared" si="11"/>
        <v>0</v>
      </c>
      <c r="AC51">
        <f t="shared" si="12"/>
        <v>0</v>
      </c>
      <c r="AD51">
        <f t="shared" si="6"/>
        <v>0</v>
      </c>
      <c r="AE51">
        <f t="shared" si="7"/>
        <v>0</v>
      </c>
      <c r="AF51">
        <f t="shared" si="0"/>
        <v>6750000</v>
      </c>
    </row>
    <row r="52" spans="1:32" x14ac:dyDescent="0.35">
      <c r="A52" s="1">
        <v>0</v>
      </c>
      <c r="B52" t="s">
        <v>206</v>
      </c>
      <c r="C52" t="s">
        <v>10</v>
      </c>
      <c r="D52" t="s">
        <v>39</v>
      </c>
      <c r="E52" t="s">
        <v>39</v>
      </c>
      <c r="F52" t="s">
        <v>40</v>
      </c>
      <c r="G52">
        <v>32</v>
      </c>
      <c r="H52" t="s">
        <v>207</v>
      </c>
      <c r="I52">
        <v>1.287661075592041</v>
      </c>
      <c r="J52">
        <v>1.1883374452590942</v>
      </c>
      <c r="K52">
        <v>2</v>
      </c>
      <c r="L52">
        <v>26000000</v>
      </c>
      <c r="M52">
        <v>13000000</v>
      </c>
      <c r="O52" t="s">
        <v>36</v>
      </c>
      <c r="P52">
        <v>2</v>
      </c>
      <c r="Q52">
        <v>34000000</v>
      </c>
      <c r="R52">
        <v>17000000</v>
      </c>
      <c r="S52">
        <f t="shared" si="8"/>
        <v>0</v>
      </c>
      <c r="T52">
        <f t="shared" si="9"/>
        <v>1</v>
      </c>
      <c r="U52">
        <f t="shared" si="1"/>
        <v>0</v>
      </c>
      <c r="V52">
        <v>0</v>
      </c>
      <c r="W52">
        <f t="shared" si="2"/>
        <v>0</v>
      </c>
      <c r="X52">
        <f t="shared" si="3"/>
        <v>0</v>
      </c>
      <c r="Y52">
        <f t="shared" si="4"/>
        <v>0</v>
      </c>
      <c r="Z52">
        <f t="shared" si="5"/>
        <v>0</v>
      </c>
      <c r="AA52">
        <f t="shared" si="10"/>
        <v>0</v>
      </c>
      <c r="AB52">
        <f t="shared" si="11"/>
        <v>0</v>
      </c>
      <c r="AC52">
        <f t="shared" si="12"/>
        <v>0</v>
      </c>
      <c r="AD52">
        <f t="shared" si="6"/>
        <v>0</v>
      </c>
      <c r="AE52">
        <f t="shared" si="7"/>
        <v>0</v>
      </c>
      <c r="AF52">
        <f t="shared" si="0"/>
        <v>13000000</v>
      </c>
    </row>
    <row r="53" spans="1:32" x14ac:dyDescent="0.35">
      <c r="A53" s="1">
        <v>0</v>
      </c>
      <c r="B53" t="s">
        <v>240</v>
      </c>
      <c r="C53" t="s">
        <v>10</v>
      </c>
      <c r="D53" t="s">
        <v>39</v>
      </c>
      <c r="E53" t="s">
        <v>33</v>
      </c>
      <c r="F53" t="s">
        <v>36</v>
      </c>
      <c r="G53">
        <v>36</v>
      </c>
      <c r="H53" t="s">
        <v>241</v>
      </c>
      <c r="I53">
        <v>1.0541503429412842</v>
      </c>
      <c r="J53">
        <v>1.1716850996017456</v>
      </c>
      <c r="K53">
        <v>2</v>
      </c>
      <c r="L53">
        <v>24000000</v>
      </c>
      <c r="M53">
        <v>12000000</v>
      </c>
      <c r="O53" t="s">
        <v>40</v>
      </c>
      <c r="P53">
        <v>1</v>
      </c>
      <c r="Q53">
        <v>4250000</v>
      </c>
      <c r="R53">
        <v>4250000</v>
      </c>
      <c r="S53">
        <f t="shared" si="8"/>
        <v>0</v>
      </c>
      <c r="T53">
        <f t="shared" si="9"/>
        <v>1</v>
      </c>
      <c r="U53">
        <f t="shared" si="1"/>
        <v>0</v>
      </c>
      <c r="V53">
        <v>0</v>
      </c>
      <c r="W53">
        <f t="shared" si="2"/>
        <v>0</v>
      </c>
      <c r="X53">
        <f t="shared" si="3"/>
        <v>0</v>
      </c>
      <c r="Y53">
        <f t="shared" si="4"/>
        <v>0</v>
      </c>
      <c r="Z53">
        <f t="shared" si="5"/>
        <v>0</v>
      </c>
      <c r="AA53">
        <f t="shared" si="10"/>
        <v>0</v>
      </c>
      <c r="AB53">
        <f t="shared" si="11"/>
        <v>0</v>
      </c>
      <c r="AC53">
        <f t="shared" si="12"/>
        <v>0</v>
      </c>
      <c r="AD53">
        <f t="shared" si="6"/>
        <v>0</v>
      </c>
      <c r="AE53">
        <f t="shared" si="7"/>
        <v>0</v>
      </c>
      <c r="AF53">
        <f t="shared" si="0"/>
        <v>12000000</v>
      </c>
    </row>
    <row r="54" spans="1:32" x14ac:dyDescent="0.35">
      <c r="A54" s="1">
        <v>0</v>
      </c>
      <c r="B54" t="s">
        <v>153</v>
      </c>
      <c r="C54" t="s">
        <v>3</v>
      </c>
      <c r="D54" t="s">
        <v>39</v>
      </c>
      <c r="E54" t="s">
        <v>39</v>
      </c>
      <c r="F54" t="s">
        <v>48</v>
      </c>
      <c r="G54">
        <v>36</v>
      </c>
      <c r="H54" t="s">
        <v>154</v>
      </c>
      <c r="I54">
        <v>1.8475935459136963</v>
      </c>
      <c r="J54">
        <v>1.1399804353713989</v>
      </c>
      <c r="K54">
        <v>1</v>
      </c>
      <c r="L54">
        <v>7000000</v>
      </c>
      <c r="M54">
        <v>7000000</v>
      </c>
      <c r="O54" t="s">
        <v>62</v>
      </c>
      <c r="P54">
        <v>2</v>
      </c>
      <c r="Q54">
        <v>12000000</v>
      </c>
      <c r="R54">
        <v>6000000</v>
      </c>
      <c r="S54">
        <f t="shared" si="8"/>
        <v>0</v>
      </c>
      <c r="T54">
        <f t="shared" si="9"/>
        <v>0</v>
      </c>
      <c r="U54">
        <f t="shared" si="1"/>
        <v>0</v>
      </c>
      <c r="V54">
        <v>1</v>
      </c>
      <c r="W54">
        <f t="shared" si="2"/>
        <v>0</v>
      </c>
      <c r="X54">
        <f t="shared" si="3"/>
        <v>0</v>
      </c>
      <c r="Y54">
        <f t="shared" si="4"/>
        <v>0</v>
      </c>
      <c r="Z54">
        <f t="shared" si="5"/>
        <v>0</v>
      </c>
      <c r="AA54">
        <f t="shared" si="10"/>
        <v>0</v>
      </c>
      <c r="AB54">
        <f t="shared" si="11"/>
        <v>0</v>
      </c>
      <c r="AC54">
        <f t="shared" si="12"/>
        <v>0</v>
      </c>
      <c r="AD54">
        <f t="shared" si="6"/>
        <v>0</v>
      </c>
      <c r="AE54">
        <f t="shared" si="7"/>
        <v>0</v>
      </c>
      <c r="AF54">
        <f t="shared" si="0"/>
        <v>7000000</v>
      </c>
    </row>
    <row r="55" spans="1:32" x14ac:dyDescent="0.35">
      <c r="A55" s="1">
        <v>0</v>
      </c>
      <c r="B55" t="s">
        <v>197</v>
      </c>
      <c r="C55" t="s">
        <v>32</v>
      </c>
      <c r="D55" t="s">
        <v>33</v>
      </c>
      <c r="E55" t="s">
        <v>39</v>
      </c>
      <c r="F55" t="s">
        <v>42</v>
      </c>
      <c r="G55">
        <v>32</v>
      </c>
      <c r="H55" t="s">
        <v>198</v>
      </c>
      <c r="I55">
        <v>1.3144761323928833</v>
      </c>
      <c r="J55">
        <v>1.1102286577224731</v>
      </c>
      <c r="K55">
        <v>1</v>
      </c>
      <c r="L55">
        <v>12000000</v>
      </c>
      <c r="M55">
        <v>12000000</v>
      </c>
      <c r="O55" t="s">
        <v>66</v>
      </c>
      <c r="P55">
        <v>1</v>
      </c>
      <c r="Q55">
        <v>17000000</v>
      </c>
      <c r="R55">
        <v>17000000</v>
      </c>
      <c r="S55">
        <f t="shared" si="8"/>
        <v>0</v>
      </c>
      <c r="T55">
        <f t="shared" si="9"/>
        <v>0</v>
      </c>
      <c r="U55">
        <f t="shared" si="1"/>
        <v>0</v>
      </c>
      <c r="V55">
        <v>0</v>
      </c>
      <c r="W55">
        <f t="shared" si="2"/>
        <v>0</v>
      </c>
      <c r="X55">
        <f t="shared" si="3"/>
        <v>0</v>
      </c>
      <c r="Y55">
        <f t="shared" si="4"/>
        <v>0</v>
      </c>
      <c r="Z55">
        <f t="shared" si="5"/>
        <v>0</v>
      </c>
      <c r="AA55">
        <f t="shared" si="10"/>
        <v>1</v>
      </c>
      <c r="AB55">
        <f t="shared" si="11"/>
        <v>0</v>
      </c>
      <c r="AC55">
        <f t="shared" si="12"/>
        <v>1</v>
      </c>
      <c r="AD55">
        <f t="shared" si="6"/>
        <v>0</v>
      </c>
      <c r="AE55">
        <f t="shared" si="7"/>
        <v>0</v>
      </c>
      <c r="AF55">
        <f t="shared" si="0"/>
        <v>12000000</v>
      </c>
    </row>
    <row r="56" spans="1:32" x14ac:dyDescent="0.35">
      <c r="A56" s="1">
        <v>0</v>
      </c>
      <c r="B56" t="s">
        <v>321</v>
      </c>
      <c r="C56" t="s">
        <v>10</v>
      </c>
      <c r="D56" t="s">
        <v>33</v>
      </c>
      <c r="E56" t="s">
        <v>33</v>
      </c>
      <c r="F56" t="s">
        <v>66</v>
      </c>
      <c r="G56">
        <v>37</v>
      </c>
      <c r="H56" t="s">
        <v>322</v>
      </c>
      <c r="I56">
        <v>0.65915322303771973</v>
      </c>
      <c r="J56">
        <v>1.0802878141403198</v>
      </c>
      <c r="L56">
        <v>0</v>
      </c>
      <c r="O56" t="s">
        <v>66</v>
      </c>
      <c r="P56">
        <v>1</v>
      </c>
      <c r="Q56">
        <v>7500000</v>
      </c>
      <c r="R56">
        <v>7500000</v>
      </c>
      <c r="S56">
        <f t="shared" si="8"/>
        <v>0</v>
      </c>
      <c r="T56">
        <f t="shared" si="9"/>
        <v>1</v>
      </c>
      <c r="U56">
        <f t="shared" si="1"/>
        <v>0</v>
      </c>
      <c r="V56">
        <v>0</v>
      </c>
      <c r="W56">
        <f t="shared" si="2"/>
        <v>0</v>
      </c>
      <c r="X56">
        <f t="shared" si="3"/>
        <v>0</v>
      </c>
      <c r="Y56">
        <f t="shared" si="4"/>
        <v>0</v>
      </c>
      <c r="Z56">
        <f t="shared" si="5"/>
        <v>0</v>
      </c>
      <c r="AA56">
        <f t="shared" si="10"/>
        <v>0</v>
      </c>
      <c r="AB56">
        <f t="shared" si="11"/>
        <v>0</v>
      </c>
      <c r="AC56">
        <f t="shared" si="12"/>
        <v>0</v>
      </c>
      <c r="AD56">
        <f t="shared" si="6"/>
        <v>0</v>
      </c>
      <c r="AE56">
        <f t="shared" si="7"/>
        <v>0</v>
      </c>
      <c r="AF56">
        <f t="shared" si="0"/>
        <v>7500000</v>
      </c>
    </row>
    <row r="57" spans="1:32" x14ac:dyDescent="0.35">
      <c r="A57" s="1">
        <v>0</v>
      </c>
      <c r="B57" t="s">
        <v>200</v>
      </c>
      <c r="C57" t="s">
        <v>10</v>
      </c>
      <c r="D57" t="s">
        <v>45</v>
      </c>
      <c r="E57" t="s">
        <v>39</v>
      </c>
      <c r="F57" t="s">
        <v>184</v>
      </c>
      <c r="G57">
        <v>38</v>
      </c>
      <c r="H57" t="s">
        <v>201</v>
      </c>
      <c r="I57">
        <v>1.3104637861251831</v>
      </c>
      <c r="J57">
        <v>1.0387334823608398</v>
      </c>
      <c r="K57">
        <v>1</v>
      </c>
      <c r="L57">
        <v>8000000</v>
      </c>
      <c r="M57">
        <v>8000000</v>
      </c>
      <c r="S57">
        <f t="shared" si="8"/>
        <v>0</v>
      </c>
      <c r="T57">
        <f t="shared" si="9"/>
        <v>1</v>
      </c>
      <c r="U57">
        <f t="shared" si="1"/>
        <v>0</v>
      </c>
      <c r="V57">
        <v>0</v>
      </c>
      <c r="W57">
        <f t="shared" si="2"/>
        <v>0</v>
      </c>
      <c r="X57">
        <f t="shared" si="3"/>
        <v>0</v>
      </c>
      <c r="Y57">
        <f t="shared" si="4"/>
        <v>0</v>
      </c>
      <c r="Z57">
        <f t="shared" si="5"/>
        <v>0</v>
      </c>
      <c r="AA57">
        <f t="shared" si="10"/>
        <v>0</v>
      </c>
      <c r="AB57">
        <f t="shared" si="11"/>
        <v>0</v>
      </c>
      <c r="AC57">
        <f t="shared" si="12"/>
        <v>0</v>
      </c>
      <c r="AD57">
        <f t="shared" si="6"/>
        <v>0</v>
      </c>
      <c r="AE57">
        <f t="shared" si="7"/>
        <v>0</v>
      </c>
      <c r="AF57">
        <f t="shared" si="0"/>
        <v>8000000</v>
      </c>
    </row>
    <row r="58" spans="1:32" x14ac:dyDescent="0.35">
      <c r="A58" s="1">
        <v>0</v>
      </c>
      <c r="B58" t="s">
        <v>428</v>
      </c>
      <c r="C58" t="s">
        <v>10</v>
      </c>
      <c r="D58" t="s">
        <v>39</v>
      </c>
      <c r="E58" t="s">
        <v>39</v>
      </c>
      <c r="F58" t="s">
        <v>151</v>
      </c>
      <c r="G58">
        <v>27</v>
      </c>
      <c r="H58" t="s">
        <v>429</v>
      </c>
      <c r="I58">
        <v>0.36276072263717651</v>
      </c>
      <c r="J58">
        <v>1.0183967351913452</v>
      </c>
      <c r="L58">
        <v>0</v>
      </c>
      <c r="O58" t="s">
        <v>141</v>
      </c>
      <c r="P58">
        <v>1</v>
      </c>
      <c r="Q58">
        <v>9000000</v>
      </c>
      <c r="R58">
        <v>9000000</v>
      </c>
      <c r="S58">
        <f t="shared" si="8"/>
        <v>0</v>
      </c>
      <c r="T58">
        <f t="shared" si="9"/>
        <v>1</v>
      </c>
      <c r="U58">
        <f t="shared" si="1"/>
        <v>0</v>
      </c>
      <c r="V58">
        <v>0</v>
      </c>
      <c r="W58">
        <f t="shared" si="2"/>
        <v>0</v>
      </c>
      <c r="X58">
        <f t="shared" si="3"/>
        <v>0</v>
      </c>
      <c r="Y58">
        <f t="shared" si="4"/>
        <v>0</v>
      </c>
      <c r="Z58">
        <f t="shared" si="5"/>
        <v>0</v>
      </c>
      <c r="AA58">
        <f t="shared" si="10"/>
        <v>0</v>
      </c>
      <c r="AB58">
        <f t="shared" si="11"/>
        <v>0</v>
      </c>
      <c r="AC58">
        <f t="shared" si="12"/>
        <v>0</v>
      </c>
      <c r="AD58">
        <f t="shared" si="6"/>
        <v>0</v>
      </c>
      <c r="AE58">
        <f t="shared" si="7"/>
        <v>0</v>
      </c>
      <c r="AF58">
        <f t="shared" si="0"/>
        <v>9000000</v>
      </c>
    </row>
    <row r="59" spans="1:32" x14ac:dyDescent="0.35">
      <c r="A59" s="1">
        <v>0</v>
      </c>
      <c r="B59" t="s">
        <v>309</v>
      </c>
      <c r="C59" t="s">
        <v>10</v>
      </c>
      <c r="D59" t="s">
        <v>39</v>
      </c>
      <c r="E59" t="s">
        <v>39</v>
      </c>
      <c r="F59" t="s">
        <v>81</v>
      </c>
      <c r="G59">
        <v>33</v>
      </c>
      <c r="H59" t="s">
        <v>310</v>
      </c>
      <c r="I59">
        <v>0.67994749546051025</v>
      </c>
      <c r="J59">
        <v>1.0085035562515259</v>
      </c>
      <c r="K59">
        <v>1</v>
      </c>
      <c r="L59">
        <v>5500000</v>
      </c>
      <c r="M59">
        <v>5500000</v>
      </c>
      <c r="O59" t="s">
        <v>81</v>
      </c>
      <c r="P59">
        <v>1</v>
      </c>
      <c r="Q59">
        <v>7000000</v>
      </c>
      <c r="R59">
        <v>7000000</v>
      </c>
      <c r="S59">
        <f t="shared" si="8"/>
        <v>0</v>
      </c>
      <c r="T59">
        <f t="shared" si="9"/>
        <v>1</v>
      </c>
      <c r="U59">
        <f t="shared" si="1"/>
        <v>0</v>
      </c>
      <c r="V59">
        <v>0</v>
      </c>
      <c r="W59">
        <f t="shared" si="2"/>
        <v>0</v>
      </c>
      <c r="X59">
        <f t="shared" si="3"/>
        <v>0</v>
      </c>
      <c r="Y59">
        <f t="shared" si="4"/>
        <v>0</v>
      </c>
      <c r="Z59">
        <f t="shared" si="5"/>
        <v>0</v>
      </c>
      <c r="AA59">
        <f t="shared" si="10"/>
        <v>0</v>
      </c>
      <c r="AB59">
        <f t="shared" si="11"/>
        <v>0</v>
      </c>
      <c r="AC59">
        <f t="shared" si="12"/>
        <v>0</v>
      </c>
      <c r="AD59">
        <f t="shared" si="6"/>
        <v>0</v>
      </c>
      <c r="AE59">
        <f t="shared" si="7"/>
        <v>0</v>
      </c>
      <c r="AF59">
        <f t="shared" si="0"/>
        <v>5500000</v>
      </c>
    </row>
    <row r="60" spans="1:32" x14ac:dyDescent="0.35">
      <c r="A60" s="1">
        <v>0</v>
      </c>
      <c r="B60" t="s">
        <v>190</v>
      </c>
      <c r="C60" t="s">
        <v>191</v>
      </c>
      <c r="D60" t="s">
        <v>33</v>
      </c>
      <c r="E60" t="s">
        <v>33</v>
      </c>
      <c r="F60" t="s">
        <v>36</v>
      </c>
      <c r="G60">
        <v>31</v>
      </c>
      <c r="H60" t="s">
        <v>192</v>
      </c>
      <c r="I60">
        <v>1.3797411918640137</v>
      </c>
      <c r="J60">
        <v>0.98574739694595337</v>
      </c>
      <c r="K60">
        <v>2</v>
      </c>
      <c r="L60">
        <v>14000000</v>
      </c>
      <c r="M60">
        <v>7000000</v>
      </c>
      <c r="O60" t="s">
        <v>36</v>
      </c>
      <c r="P60">
        <v>1</v>
      </c>
      <c r="Q60">
        <v>7500000</v>
      </c>
      <c r="R60">
        <v>7500000</v>
      </c>
      <c r="S60">
        <f t="shared" si="8"/>
        <v>0</v>
      </c>
      <c r="T60">
        <f t="shared" si="9"/>
        <v>0</v>
      </c>
      <c r="U60">
        <f t="shared" si="1"/>
        <v>0</v>
      </c>
      <c r="V60">
        <v>0</v>
      </c>
      <c r="W60">
        <f t="shared" si="2"/>
        <v>0</v>
      </c>
      <c r="X60">
        <f t="shared" si="3"/>
        <v>0</v>
      </c>
      <c r="Y60">
        <f t="shared" si="4"/>
        <v>0</v>
      </c>
      <c r="Z60">
        <f t="shared" si="5"/>
        <v>0</v>
      </c>
      <c r="AA60">
        <f t="shared" si="10"/>
        <v>1</v>
      </c>
      <c r="AB60">
        <f t="shared" si="11"/>
        <v>0</v>
      </c>
      <c r="AC60">
        <f t="shared" si="12"/>
        <v>1</v>
      </c>
      <c r="AD60">
        <f t="shared" si="6"/>
        <v>0</v>
      </c>
      <c r="AE60">
        <f t="shared" si="7"/>
        <v>1</v>
      </c>
      <c r="AF60">
        <f t="shared" si="0"/>
        <v>7000000</v>
      </c>
    </row>
    <row r="61" spans="1:32" x14ac:dyDescent="0.35">
      <c r="A61" s="1">
        <v>0</v>
      </c>
      <c r="B61" t="s">
        <v>250</v>
      </c>
      <c r="C61" t="s">
        <v>65</v>
      </c>
      <c r="D61" t="s">
        <v>33</v>
      </c>
      <c r="E61" t="s">
        <v>33</v>
      </c>
      <c r="F61" t="s">
        <v>100</v>
      </c>
      <c r="G61">
        <v>32</v>
      </c>
      <c r="H61" t="s">
        <v>251</v>
      </c>
      <c r="I61">
        <v>0.95013284683227539</v>
      </c>
      <c r="J61">
        <v>0.97045028209686279</v>
      </c>
      <c r="K61">
        <v>2</v>
      </c>
      <c r="L61">
        <v>22000000</v>
      </c>
      <c r="M61">
        <v>11000000</v>
      </c>
      <c r="O61" t="s">
        <v>134</v>
      </c>
      <c r="P61">
        <v>1</v>
      </c>
      <c r="Q61">
        <v>10000000</v>
      </c>
      <c r="R61">
        <v>10000000</v>
      </c>
      <c r="S61">
        <f t="shared" si="8"/>
        <v>0</v>
      </c>
      <c r="T61">
        <f t="shared" si="9"/>
        <v>0</v>
      </c>
      <c r="U61">
        <f t="shared" si="1"/>
        <v>0</v>
      </c>
      <c r="V61">
        <v>0</v>
      </c>
      <c r="W61">
        <f t="shared" si="2"/>
        <v>0</v>
      </c>
      <c r="X61">
        <f t="shared" si="3"/>
        <v>0</v>
      </c>
      <c r="Y61">
        <f t="shared" si="4"/>
        <v>0</v>
      </c>
      <c r="Z61">
        <f t="shared" si="5"/>
        <v>0</v>
      </c>
      <c r="AA61">
        <f t="shared" si="10"/>
        <v>1</v>
      </c>
      <c r="AB61">
        <f t="shared" si="11"/>
        <v>0</v>
      </c>
      <c r="AC61">
        <f t="shared" si="12"/>
        <v>1</v>
      </c>
      <c r="AD61">
        <f t="shared" si="6"/>
        <v>0</v>
      </c>
      <c r="AE61">
        <f t="shared" si="7"/>
        <v>0</v>
      </c>
      <c r="AF61">
        <f t="shared" si="0"/>
        <v>11000000</v>
      </c>
    </row>
    <row r="62" spans="1:32" x14ac:dyDescent="0.35">
      <c r="A62" s="1">
        <v>1</v>
      </c>
      <c r="B62" t="s">
        <v>243</v>
      </c>
      <c r="C62" t="s">
        <v>244</v>
      </c>
      <c r="D62" t="s">
        <v>33</v>
      </c>
      <c r="E62" t="s">
        <v>33</v>
      </c>
      <c r="F62" t="s">
        <v>104</v>
      </c>
      <c r="G62">
        <v>34</v>
      </c>
      <c r="H62" t="s">
        <v>245</v>
      </c>
      <c r="I62">
        <v>1.0476001501083374</v>
      </c>
      <c r="J62">
        <v>0.96923506259918213</v>
      </c>
      <c r="L62">
        <v>0</v>
      </c>
      <c r="O62" t="s">
        <v>151</v>
      </c>
      <c r="P62">
        <v>1</v>
      </c>
      <c r="Q62">
        <v>1950000</v>
      </c>
      <c r="R62">
        <v>1950000</v>
      </c>
      <c r="S62">
        <f t="shared" si="8"/>
        <v>0</v>
      </c>
      <c r="T62">
        <f t="shared" si="9"/>
        <v>0</v>
      </c>
      <c r="U62">
        <f t="shared" si="1"/>
        <v>0</v>
      </c>
      <c r="V62">
        <v>0</v>
      </c>
      <c r="W62">
        <f t="shared" si="2"/>
        <v>0</v>
      </c>
      <c r="X62">
        <f t="shared" si="3"/>
        <v>0</v>
      </c>
      <c r="Y62">
        <f t="shared" si="4"/>
        <v>0</v>
      </c>
      <c r="Z62">
        <f t="shared" si="5"/>
        <v>0</v>
      </c>
      <c r="AA62">
        <f t="shared" si="10"/>
        <v>1</v>
      </c>
      <c r="AB62">
        <f t="shared" si="11"/>
        <v>1</v>
      </c>
      <c r="AC62">
        <f t="shared" si="12"/>
        <v>1</v>
      </c>
      <c r="AD62">
        <f t="shared" si="6"/>
        <v>0</v>
      </c>
      <c r="AE62">
        <f t="shared" si="7"/>
        <v>0</v>
      </c>
      <c r="AF62">
        <f t="shared" si="0"/>
        <v>1950000</v>
      </c>
    </row>
    <row r="63" spans="1:32" x14ac:dyDescent="0.35">
      <c r="A63" s="1">
        <v>0</v>
      </c>
      <c r="B63" t="s">
        <v>183</v>
      </c>
      <c r="C63" t="s">
        <v>10</v>
      </c>
      <c r="D63" t="s">
        <v>39</v>
      </c>
      <c r="E63" t="s">
        <v>39</v>
      </c>
      <c r="F63" t="s">
        <v>184</v>
      </c>
      <c r="G63">
        <v>37</v>
      </c>
      <c r="H63" t="s">
        <v>185</v>
      </c>
      <c r="I63">
        <v>1.428179144859314</v>
      </c>
      <c r="J63">
        <v>0.96512174606323242</v>
      </c>
      <c r="K63">
        <v>1</v>
      </c>
      <c r="L63">
        <v>10000000</v>
      </c>
      <c r="M63">
        <v>10000000</v>
      </c>
      <c r="O63" t="s">
        <v>56</v>
      </c>
      <c r="P63">
        <v>1</v>
      </c>
      <c r="Q63">
        <v>5250000</v>
      </c>
      <c r="R63">
        <v>5250000</v>
      </c>
      <c r="S63">
        <f t="shared" si="8"/>
        <v>0</v>
      </c>
      <c r="T63">
        <f t="shared" si="9"/>
        <v>1</v>
      </c>
      <c r="U63">
        <f t="shared" si="1"/>
        <v>0</v>
      </c>
      <c r="V63">
        <v>0</v>
      </c>
      <c r="W63">
        <f t="shared" si="2"/>
        <v>0</v>
      </c>
      <c r="X63">
        <f t="shared" si="3"/>
        <v>0</v>
      </c>
      <c r="Y63">
        <f t="shared" si="4"/>
        <v>0</v>
      </c>
      <c r="Z63">
        <f t="shared" si="5"/>
        <v>0</v>
      </c>
      <c r="AA63">
        <f t="shared" si="10"/>
        <v>0</v>
      </c>
      <c r="AB63">
        <f t="shared" si="11"/>
        <v>0</v>
      </c>
      <c r="AC63">
        <f t="shared" si="12"/>
        <v>0</v>
      </c>
      <c r="AD63">
        <f t="shared" si="6"/>
        <v>0</v>
      </c>
      <c r="AE63">
        <f t="shared" si="7"/>
        <v>0</v>
      </c>
      <c r="AF63">
        <f t="shared" si="0"/>
        <v>10000000</v>
      </c>
    </row>
    <row r="64" spans="1:32" x14ac:dyDescent="0.35">
      <c r="A64" s="1">
        <v>0</v>
      </c>
      <c r="B64" t="s">
        <v>374</v>
      </c>
      <c r="C64" t="s">
        <v>10</v>
      </c>
      <c r="D64" t="s">
        <v>33</v>
      </c>
      <c r="E64" t="s">
        <v>33</v>
      </c>
      <c r="F64" t="s">
        <v>46</v>
      </c>
      <c r="G64">
        <v>34</v>
      </c>
      <c r="H64" t="s">
        <v>375</v>
      </c>
      <c r="I64">
        <v>0.49794203042984009</v>
      </c>
      <c r="J64">
        <v>0.91062599420547485</v>
      </c>
      <c r="K64">
        <v>1</v>
      </c>
      <c r="L64">
        <v>7000000</v>
      </c>
      <c r="M64">
        <v>7000000</v>
      </c>
      <c r="O64" t="s">
        <v>151</v>
      </c>
      <c r="P64">
        <v>1</v>
      </c>
      <c r="Q64">
        <v>5000000</v>
      </c>
      <c r="R64">
        <v>5000000</v>
      </c>
      <c r="S64">
        <f t="shared" si="8"/>
        <v>0</v>
      </c>
      <c r="T64">
        <f t="shared" si="9"/>
        <v>1</v>
      </c>
      <c r="U64">
        <f t="shared" si="1"/>
        <v>0</v>
      </c>
      <c r="V64">
        <v>0</v>
      </c>
      <c r="W64">
        <f t="shared" si="2"/>
        <v>0</v>
      </c>
      <c r="X64">
        <f t="shared" si="3"/>
        <v>0</v>
      </c>
      <c r="Y64">
        <f t="shared" si="4"/>
        <v>0</v>
      </c>
      <c r="Z64">
        <f t="shared" si="5"/>
        <v>0</v>
      </c>
      <c r="AA64">
        <f t="shared" si="10"/>
        <v>0</v>
      </c>
      <c r="AB64">
        <f t="shared" si="11"/>
        <v>0</v>
      </c>
      <c r="AC64">
        <f t="shared" si="12"/>
        <v>0</v>
      </c>
      <c r="AD64">
        <f t="shared" si="6"/>
        <v>0</v>
      </c>
      <c r="AE64">
        <f t="shared" si="7"/>
        <v>0</v>
      </c>
      <c r="AF64">
        <f t="shared" si="0"/>
        <v>7000000</v>
      </c>
    </row>
    <row r="65" spans="1:32" x14ac:dyDescent="0.35">
      <c r="A65" s="1">
        <v>0</v>
      </c>
      <c r="B65" t="s">
        <v>409</v>
      </c>
      <c r="C65" t="s">
        <v>10</v>
      </c>
      <c r="D65" t="s">
        <v>39</v>
      </c>
      <c r="E65" t="s">
        <v>39</v>
      </c>
      <c r="F65" t="s">
        <v>104</v>
      </c>
      <c r="G65">
        <v>35</v>
      </c>
      <c r="H65" t="s">
        <v>410</v>
      </c>
      <c r="I65">
        <v>0.41013327240943909</v>
      </c>
      <c r="J65">
        <v>0.85594969987869263</v>
      </c>
      <c r="L65">
        <v>0</v>
      </c>
      <c r="O65" t="s">
        <v>62</v>
      </c>
      <c r="P65">
        <v>1</v>
      </c>
      <c r="Q65">
        <v>2500000</v>
      </c>
      <c r="R65">
        <v>2500000</v>
      </c>
      <c r="S65">
        <f t="shared" si="8"/>
        <v>0</v>
      </c>
      <c r="T65">
        <f t="shared" si="9"/>
        <v>1</v>
      </c>
      <c r="U65">
        <f t="shared" si="1"/>
        <v>0</v>
      </c>
      <c r="V65">
        <v>0</v>
      </c>
      <c r="W65">
        <f t="shared" si="2"/>
        <v>0</v>
      </c>
      <c r="X65">
        <f t="shared" si="3"/>
        <v>0</v>
      </c>
      <c r="Y65">
        <f t="shared" si="4"/>
        <v>0</v>
      </c>
      <c r="Z65">
        <f t="shared" si="5"/>
        <v>0</v>
      </c>
      <c r="AA65">
        <f t="shared" si="10"/>
        <v>0</v>
      </c>
      <c r="AB65">
        <f t="shared" si="11"/>
        <v>0</v>
      </c>
      <c r="AC65">
        <f t="shared" si="12"/>
        <v>0</v>
      </c>
      <c r="AD65">
        <f t="shared" si="6"/>
        <v>0</v>
      </c>
      <c r="AE65">
        <f t="shared" si="7"/>
        <v>0</v>
      </c>
      <c r="AF65">
        <f t="shared" si="0"/>
        <v>2500000</v>
      </c>
    </row>
    <row r="66" spans="1:32" x14ac:dyDescent="0.35">
      <c r="A66" s="1">
        <v>0</v>
      </c>
      <c r="B66" t="s">
        <v>133</v>
      </c>
      <c r="C66" t="s">
        <v>9</v>
      </c>
      <c r="D66" t="s">
        <v>39</v>
      </c>
      <c r="E66" t="s">
        <v>39</v>
      </c>
      <c r="F66" t="s">
        <v>134</v>
      </c>
      <c r="G66">
        <v>32</v>
      </c>
      <c r="H66" t="s">
        <v>135</v>
      </c>
      <c r="I66">
        <v>2.0313034057617188</v>
      </c>
      <c r="J66">
        <v>0.82233375310897827</v>
      </c>
      <c r="K66">
        <v>3</v>
      </c>
      <c r="L66">
        <v>30000000</v>
      </c>
      <c r="M66">
        <v>10000000</v>
      </c>
      <c r="O66" t="s">
        <v>86</v>
      </c>
      <c r="P66">
        <v>3</v>
      </c>
      <c r="Q66">
        <v>33000000</v>
      </c>
      <c r="R66">
        <v>11000000</v>
      </c>
      <c r="S66">
        <f t="shared" si="8"/>
        <v>0</v>
      </c>
      <c r="T66">
        <f t="shared" si="9"/>
        <v>0</v>
      </c>
      <c r="U66">
        <f t="shared" si="1"/>
        <v>1</v>
      </c>
      <c r="V66">
        <v>0</v>
      </c>
      <c r="W66">
        <f t="shared" si="2"/>
        <v>0</v>
      </c>
      <c r="X66">
        <f t="shared" si="3"/>
        <v>0</v>
      </c>
      <c r="Y66">
        <f t="shared" si="4"/>
        <v>0</v>
      </c>
      <c r="Z66">
        <f t="shared" si="5"/>
        <v>0</v>
      </c>
      <c r="AA66">
        <f t="shared" si="10"/>
        <v>0</v>
      </c>
      <c r="AB66">
        <f t="shared" si="11"/>
        <v>0</v>
      </c>
      <c r="AC66">
        <f t="shared" si="12"/>
        <v>0</v>
      </c>
      <c r="AD66">
        <f t="shared" si="6"/>
        <v>0</v>
      </c>
      <c r="AE66">
        <f t="shared" si="7"/>
        <v>0</v>
      </c>
      <c r="AF66">
        <f t="shared" si="0"/>
        <v>10000000</v>
      </c>
    </row>
    <row r="67" spans="1:32" x14ac:dyDescent="0.35">
      <c r="A67" s="1">
        <v>0</v>
      </c>
      <c r="B67" t="s">
        <v>171</v>
      </c>
      <c r="C67" t="s">
        <v>9</v>
      </c>
      <c r="D67" t="s">
        <v>39</v>
      </c>
      <c r="E67" t="s">
        <v>33</v>
      </c>
      <c r="F67" t="s">
        <v>46</v>
      </c>
      <c r="G67">
        <v>30</v>
      </c>
      <c r="H67" t="s">
        <v>117</v>
      </c>
      <c r="I67">
        <v>1.6380876302719116</v>
      </c>
      <c r="J67">
        <v>0.79611372947692871</v>
      </c>
      <c r="K67">
        <v>3</v>
      </c>
      <c r="L67">
        <v>36000000</v>
      </c>
      <c r="M67">
        <v>12000000</v>
      </c>
      <c r="O67" t="s">
        <v>66</v>
      </c>
      <c r="P67">
        <v>4</v>
      </c>
      <c r="Q67">
        <v>72000000</v>
      </c>
      <c r="R67">
        <v>15841901</v>
      </c>
      <c r="S67">
        <f t="shared" si="8"/>
        <v>0</v>
      </c>
      <c r="T67">
        <f t="shared" si="9"/>
        <v>0</v>
      </c>
      <c r="U67">
        <f t="shared" si="1"/>
        <v>1</v>
      </c>
      <c r="V67">
        <v>0</v>
      </c>
      <c r="W67">
        <f t="shared" si="2"/>
        <v>0</v>
      </c>
      <c r="X67">
        <f t="shared" si="3"/>
        <v>0</v>
      </c>
      <c r="Y67">
        <f t="shared" si="4"/>
        <v>0</v>
      </c>
      <c r="Z67">
        <f t="shared" si="5"/>
        <v>0</v>
      </c>
      <c r="AA67">
        <f t="shared" si="10"/>
        <v>0</v>
      </c>
      <c r="AB67">
        <f t="shared" si="11"/>
        <v>0</v>
      </c>
      <c r="AC67">
        <f t="shared" si="12"/>
        <v>0</v>
      </c>
      <c r="AD67">
        <f t="shared" si="6"/>
        <v>0</v>
      </c>
      <c r="AE67">
        <f t="shared" si="7"/>
        <v>0</v>
      </c>
      <c r="AF67">
        <f t="shared" si="0"/>
        <v>12000000</v>
      </c>
    </row>
    <row r="68" spans="1:32" x14ac:dyDescent="0.35">
      <c r="A68" s="1">
        <v>0</v>
      </c>
      <c r="B68" t="s">
        <v>140</v>
      </c>
      <c r="C68" t="s">
        <v>10</v>
      </c>
      <c r="D68" t="s">
        <v>39</v>
      </c>
      <c r="E68" t="s">
        <v>39</v>
      </c>
      <c r="F68" t="s">
        <v>141</v>
      </c>
      <c r="G68">
        <v>33</v>
      </c>
      <c r="H68" t="s">
        <v>142</v>
      </c>
      <c r="I68">
        <v>1.9769130945205688</v>
      </c>
      <c r="J68">
        <v>0.77775895595550537</v>
      </c>
      <c r="K68">
        <v>2</v>
      </c>
      <c r="L68">
        <v>18000000</v>
      </c>
      <c r="M68">
        <v>9000000</v>
      </c>
      <c r="O68" t="s">
        <v>141</v>
      </c>
      <c r="P68">
        <v>2</v>
      </c>
      <c r="Q68">
        <v>14000000</v>
      </c>
      <c r="R68">
        <v>7000000</v>
      </c>
      <c r="S68">
        <f t="shared" si="8"/>
        <v>0</v>
      </c>
      <c r="T68">
        <f t="shared" si="9"/>
        <v>1</v>
      </c>
      <c r="U68">
        <f t="shared" si="1"/>
        <v>0</v>
      </c>
      <c r="V68">
        <v>0</v>
      </c>
      <c r="W68">
        <f t="shared" si="2"/>
        <v>0</v>
      </c>
      <c r="X68">
        <f t="shared" si="3"/>
        <v>0</v>
      </c>
      <c r="Y68">
        <f t="shared" si="4"/>
        <v>0</v>
      </c>
      <c r="Z68">
        <f t="shared" si="5"/>
        <v>0</v>
      </c>
      <c r="AA68">
        <f t="shared" si="10"/>
        <v>0</v>
      </c>
      <c r="AB68">
        <f t="shared" si="11"/>
        <v>0</v>
      </c>
      <c r="AC68">
        <f t="shared" si="12"/>
        <v>0</v>
      </c>
      <c r="AD68">
        <f t="shared" si="6"/>
        <v>0</v>
      </c>
      <c r="AE68">
        <f t="shared" si="7"/>
        <v>0</v>
      </c>
      <c r="AF68">
        <f t="shared" si="0"/>
        <v>9000000</v>
      </c>
    </row>
    <row r="69" spans="1:32" x14ac:dyDescent="0.35">
      <c r="A69" s="1">
        <v>0</v>
      </c>
      <c r="B69" t="s">
        <v>356</v>
      </c>
      <c r="C69" t="s">
        <v>10</v>
      </c>
      <c r="D69" t="s">
        <v>33</v>
      </c>
      <c r="E69" t="s">
        <v>39</v>
      </c>
      <c r="F69" t="s">
        <v>254</v>
      </c>
      <c r="G69">
        <v>30</v>
      </c>
      <c r="H69" t="s">
        <v>357</v>
      </c>
      <c r="I69">
        <v>0.53538531064987183</v>
      </c>
      <c r="J69">
        <v>0.7732168436050415</v>
      </c>
      <c r="L69">
        <v>0</v>
      </c>
      <c r="O69" t="s">
        <v>358</v>
      </c>
      <c r="P69">
        <v>1</v>
      </c>
      <c r="Q69">
        <v>3500000</v>
      </c>
      <c r="R69">
        <v>3500000</v>
      </c>
      <c r="S69">
        <f t="shared" si="8"/>
        <v>0</v>
      </c>
      <c r="T69">
        <f t="shared" si="9"/>
        <v>1</v>
      </c>
      <c r="U69">
        <f t="shared" si="1"/>
        <v>0</v>
      </c>
      <c r="V69">
        <v>0</v>
      </c>
      <c r="W69">
        <f t="shared" si="2"/>
        <v>0</v>
      </c>
      <c r="X69">
        <f t="shared" si="3"/>
        <v>0</v>
      </c>
      <c r="Y69">
        <f t="shared" si="4"/>
        <v>0</v>
      </c>
      <c r="Z69">
        <f t="shared" si="5"/>
        <v>0</v>
      </c>
      <c r="AA69">
        <f t="shared" si="10"/>
        <v>0</v>
      </c>
      <c r="AB69">
        <f t="shared" si="11"/>
        <v>0</v>
      </c>
      <c r="AC69">
        <f t="shared" si="12"/>
        <v>0</v>
      </c>
      <c r="AD69">
        <f t="shared" si="6"/>
        <v>0</v>
      </c>
      <c r="AE69">
        <f t="shared" si="7"/>
        <v>0</v>
      </c>
      <c r="AF69">
        <f t="shared" si="0"/>
        <v>3500000</v>
      </c>
    </row>
    <row r="70" spans="1:32" x14ac:dyDescent="0.35">
      <c r="A70" s="1">
        <v>0</v>
      </c>
      <c r="B70" t="s">
        <v>237</v>
      </c>
      <c r="C70" t="s">
        <v>9</v>
      </c>
      <c r="D70" t="s">
        <v>33</v>
      </c>
      <c r="E70" t="s">
        <v>33</v>
      </c>
      <c r="F70" t="s">
        <v>125</v>
      </c>
      <c r="G70">
        <v>37</v>
      </c>
      <c r="H70" t="s">
        <v>238</v>
      </c>
      <c r="I70">
        <v>1.0912429094314575</v>
      </c>
      <c r="J70">
        <v>0.76992553472518921</v>
      </c>
      <c r="K70">
        <v>1</v>
      </c>
      <c r="L70">
        <v>10000000</v>
      </c>
      <c r="M70">
        <v>10000000</v>
      </c>
      <c r="O70" t="s">
        <v>53</v>
      </c>
      <c r="P70">
        <v>1</v>
      </c>
      <c r="Q70">
        <v>10750000</v>
      </c>
      <c r="R70">
        <v>10750000</v>
      </c>
      <c r="S70">
        <f t="shared" si="8"/>
        <v>0</v>
      </c>
      <c r="T70">
        <f t="shared" si="9"/>
        <v>0</v>
      </c>
      <c r="U70">
        <f t="shared" si="1"/>
        <v>1</v>
      </c>
      <c r="V70">
        <v>0</v>
      </c>
      <c r="W70">
        <f t="shared" si="2"/>
        <v>0</v>
      </c>
      <c r="X70">
        <f t="shared" si="3"/>
        <v>0</v>
      </c>
      <c r="Y70">
        <f t="shared" si="4"/>
        <v>0</v>
      </c>
      <c r="Z70">
        <f t="shared" si="5"/>
        <v>0</v>
      </c>
      <c r="AA70">
        <f t="shared" si="10"/>
        <v>0</v>
      </c>
      <c r="AB70">
        <f t="shared" si="11"/>
        <v>0</v>
      </c>
      <c r="AC70">
        <f t="shared" si="12"/>
        <v>0</v>
      </c>
      <c r="AD70">
        <f t="shared" si="6"/>
        <v>0</v>
      </c>
      <c r="AE70">
        <f t="shared" si="7"/>
        <v>0</v>
      </c>
      <c r="AF70">
        <f t="shared" si="0"/>
        <v>10000000</v>
      </c>
    </row>
    <row r="71" spans="1:32" x14ac:dyDescent="0.35">
      <c r="A71" s="1">
        <v>0</v>
      </c>
      <c r="B71" t="s">
        <v>421</v>
      </c>
      <c r="C71" t="s">
        <v>422</v>
      </c>
      <c r="D71" t="s">
        <v>39</v>
      </c>
      <c r="E71" t="s">
        <v>39</v>
      </c>
      <c r="F71" t="s">
        <v>40</v>
      </c>
      <c r="G71">
        <v>32</v>
      </c>
      <c r="H71" t="s">
        <v>423</v>
      </c>
      <c r="I71">
        <v>0.37407970428466797</v>
      </c>
      <c r="J71">
        <v>0.70520538091659546</v>
      </c>
      <c r="L71">
        <v>0</v>
      </c>
      <c r="O71" t="s">
        <v>56</v>
      </c>
      <c r="P71">
        <v>1</v>
      </c>
      <c r="Q71">
        <v>8500000</v>
      </c>
      <c r="R71">
        <v>8500000</v>
      </c>
      <c r="S71">
        <f t="shared" si="8"/>
        <v>0</v>
      </c>
      <c r="T71">
        <f t="shared" si="9"/>
        <v>0</v>
      </c>
      <c r="U71">
        <f t="shared" si="1"/>
        <v>0</v>
      </c>
      <c r="V71">
        <v>1</v>
      </c>
      <c r="W71">
        <f t="shared" si="2"/>
        <v>0</v>
      </c>
      <c r="X71">
        <f t="shared" si="3"/>
        <v>0</v>
      </c>
      <c r="Y71">
        <f t="shared" si="4"/>
        <v>0</v>
      </c>
      <c r="Z71">
        <f t="shared" si="5"/>
        <v>0</v>
      </c>
      <c r="AA71">
        <f t="shared" si="10"/>
        <v>0</v>
      </c>
      <c r="AB71">
        <f t="shared" si="11"/>
        <v>0</v>
      </c>
      <c r="AC71">
        <f t="shared" si="12"/>
        <v>0</v>
      </c>
      <c r="AD71">
        <f t="shared" si="6"/>
        <v>0</v>
      </c>
      <c r="AE71">
        <f t="shared" si="7"/>
        <v>1</v>
      </c>
      <c r="AF71">
        <f t="shared" si="0"/>
        <v>8500000</v>
      </c>
    </row>
    <row r="72" spans="1:32" x14ac:dyDescent="0.35">
      <c r="A72" s="1">
        <v>0</v>
      </c>
      <c r="B72" t="s">
        <v>477</v>
      </c>
      <c r="C72" t="s">
        <v>478</v>
      </c>
      <c r="D72" t="s">
        <v>39</v>
      </c>
      <c r="E72" t="s">
        <v>39</v>
      </c>
      <c r="F72" t="s">
        <v>70</v>
      </c>
      <c r="G72">
        <v>29</v>
      </c>
      <c r="H72" t="s">
        <v>479</v>
      </c>
      <c r="I72">
        <v>0.21797968447208405</v>
      </c>
      <c r="J72">
        <v>0.69562423229217529</v>
      </c>
      <c r="L72">
        <v>0</v>
      </c>
      <c r="O72" t="s">
        <v>141</v>
      </c>
      <c r="P72">
        <v>1</v>
      </c>
      <c r="Q72">
        <v>2000000</v>
      </c>
      <c r="R72">
        <v>2000000</v>
      </c>
      <c r="S72">
        <f t="shared" si="8"/>
        <v>0</v>
      </c>
      <c r="T72">
        <f t="shared" si="9"/>
        <v>0</v>
      </c>
      <c r="U72">
        <f t="shared" si="1"/>
        <v>0</v>
      </c>
      <c r="V72">
        <v>0</v>
      </c>
      <c r="W72">
        <f t="shared" si="2"/>
        <v>0</v>
      </c>
      <c r="X72">
        <f t="shared" si="3"/>
        <v>1</v>
      </c>
      <c r="Y72">
        <f t="shared" si="4"/>
        <v>1</v>
      </c>
      <c r="Z72">
        <f t="shared" si="5"/>
        <v>1</v>
      </c>
      <c r="AA72">
        <f t="shared" si="10"/>
        <v>0</v>
      </c>
      <c r="AB72">
        <f t="shared" si="11"/>
        <v>0</v>
      </c>
      <c r="AC72">
        <f t="shared" si="12"/>
        <v>1</v>
      </c>
      <c r="AD72">
        <f t="shared" si="6"/>
        <v>0</v>
      </c>
      <c r="AE72">
        <f t="shared" si="7"/>
        <v>0</v>
      </c>
      <c r="AF72">
        <f t="shared" si="0"/>
        <v>2000000</v>
      </c>
    </row>
    <row r="73" spans="1:32" x14ac:dyDescent="0.35">
      <c r="A73" s="1">
        <v>1</v>
      </c>
      <c r="B73" t="s">
        <v>234</v>
      </c>
      <c r="C73" t="s">
        <v>9</v>
      </c>
      <c r="D73" t="s">
        <v>33</v>
      </c>
      <c r="E73" t="s">
        <v>33</v>
      </c>
      <c r="F73" t="s">
        <v>48</v>
      </c>
      <c r="G73">
        <v>31</v>
      </c>
      <c r="H73" t="s">
        <v>235</v>
      </c>
      <c r="I73">
        <v>1.0976227521896362</v>
      </c>
      <c r="J73">
        <v>0.68837302923202515</v>
      </c>
      <c r="L73">
        <v>0</v>
      </c>
      <c r="O73" t="s">
        <v>48</v>
      </c>
      <c r="P73">
        <v>2</v>
      </c>
      <c r="Q73">
        <v>13000000</v>
      </c>
      <c r="R73">
        <v>6500000</v>
      </c>
      <c r="S73">
        <f t="shared" si="8"/>
        <v>0</v>
      </c>
      <c r="T73">
        <f t="shared" si="9"/>
        <v>0</v>
      </c>
      <c r="U73">
        <f t="shared" si="1"/>
        <v>1</v>
      </c>
      <c r="V73">
        <v>0</v>
      </c>
      <c r="W73">
        <f t="shared" si="2"/>
        <v>0</v>
      </c>
      <c r="X73">
        <f t="shared" si="3"/>
        <v>0</v>
      </c>
      <c r="Y73">
        <f t="shared" si="4"/>
        <v>0</v>
      </c>
      <c r="Z73">
        <f t="shared" si="5"/>
        <v>0</v>
      </c>
      <c r="AA73">
        <f t="shared" si="10"/>
        <v>0</v>
      </c>
      <c r="AB73">
        <f t="shared" si="11"/>
        <v>0</v>
      </c>
      <c r="AC73">
        <f t="shared" si="12"/>
        <v>0</v>
      </c>
      <c r="AD73">
        <f t="shared" si="6"/>
        <v>0</v>
      </c>
      <c r="AE73">
        <f t="shared" si="7"/>
        <v>0</v>
      </c>
      <c r="AF73">
        <f t="shared" si="0"/>
        <v>6500000</v>
      </c>
    </row>
    <row r="74" spans="1:32" x14ac:dyDescent="0.35">
      <c r="A74" s="1">
        <v>0</v>
      </c>
      <c r="B74" t="s">
        <v>260</v>
      </c>
      <c r="C74" t="s">
        <v>9</v>
      </c>
      <c r="D74" t="s">
        <v>39</v>
      </c>
      <c r="E74" t="s">
        <v>39</v>
      </c>
      <c r="F74" t="s">
        <v>53</v>
      </c>
      <c r="G74">
        <v>39</v>
      </c>
      <c r="H74" t="s">
        <v>261</v>
      </c>
      <c r="I74">
        <v>0.89683073759078979</v>
      </c>
      <c r="J74">
        <v>0.6744195818901062</v>
      </c>
      <c r="K74">
        <v>1</v>
      </c>
      <c r="L74">
        <v>7000000</v>
      </c>
      <c r="M74">
        <v>7000000</v>
      </c>
      <c r="O74" t="s">
        <v>97</v>
      </c>
      <c r="P74">
        <v>1</v>
      </c>
      <c r="Q74">
        <v>5500000</v>
      </c>
      <c r="R74">
        <v>5500000</v>
      </c>
      <c r="S74">
        <f t="shared" si="8"/>
        <v>0</v>
      </c>
      <c r="T74">
        <f t="shared" si="9"/>
        <v>0</v>
      </c>
      <c r="U74">
        <f t="shared" si="1"/>
        <v>1</v>
      </c>
      <c r="V74">
        <v>0</v>
      </c>
      <c r="W74">
        <f t="shared" si="2"/>
        <v>0</v>
      </c>
      <c r="X74">
        <f t="shared" si="3"/>
        <v>0</v>
      </c>
      <c r="Y74">
        <f t="shared" si="4"/>
        <v>0</v>
      </c>
      <c r="Z74">
        <f t="shared" si="5"/>
        <v>0</v>
      </c>
      <c r="AA74">
        <f t="shared" si="10"/>
        <v>0</v>
      </c>
      <c r="AB74">
        <f t="shared" si="11"/>
        <v>0</v>
      </c>
      <c r="AC74">
        <f t="shared" si="12"/>
        <v>0</v>
      </c>
      <c r="AD74">
        <f t="shared" si="6"/>
        <v>0</v>
      </c>
      <c r="AE74">
        <f t="shared" si="7"/>
        <v>0</v>
      </c>
      <c r="AF74">
        <f t="shared" si="0"/>
        <v>7000000</v>
      </c>
    </row>
    <row r="75" spans="1:32" x14ac:dyDescent="0.35">
      <c r="A75" s="1">
        <v>0</v>
      </c>
      <c r="B75" t="s">
        <v>168</v>
      </c>
      <c r="C75" t="s">
        <v>10</v>
      </c>
      <c r="D75" t="s">
        <v>33</v>
      </c>
      <c r="E75" t="s">
        <v>33</v>
      </c>
      <c r="F75" t="s">
        <v>141</v>
      </c>
      <c r="G75">
        <v>35</v>
      </c>
      <c r="H75" t="s">
        <v>169</v>
      </c>
      <c r="I75">
        <v>1.7376071214675903</v>
      </c>
      <c r="J75">
        <v>0.66931021213531494</v>
      </c>
      <c r="L75">
        <v>0</v>
      </c>
      <c r="O75" t="s">
        <v>97</v>
      </c>
      <c r="P75">
        <v>1</v>
      </c>
      <c r="Q75">
        <v>1100000</v>
      </c>
      <c r="R75">
        <v>1100000</v>
      </c>
      <c r="S75">
        <f t="shared" si="8"/>
        <v>0</v>
      </c>
      <c r="T75">
        <f t="shared" si="9"/>
        <v>1</v>
      </c>
      <c r="U75">
        <f t="shared" si="1"/>
        <v>0</v>
      </c>
      <c r="V75">
        <v>0</v>
      </c>
      <c r="W75">
        <f t="shared" si="2"/>
        <v>0</v>
      </c>
      <c r="X75">
        <f t="shared" si="3"/>
        <v>0</v>
      </c>
      <c r="Y75">
        <f t="shared" si="4"/>
        <v>0</v>
      </c>
      <c r="Z75">
        <f t="shared" si="5"/>
        <v>0</v>
      </c>
      <c r="AA75">
        <f t="shared" si="10"/>
        <v>0</v>
      </c>
      <c r="AB75">
        <f t="shared" si="11"/>
        <v>0</v>
      </c>
      <c r="AC75">
        <f t="shared" si="12"/>
        <v>0</v>
      </c>
      <c r="AD75">
        <f t="shared" si="6"/>
        <v>0</v>
      </c>
      <c r="AE75">
        <f t="shared" si="7"/>
        <v>0</v>
      </c>
      <c r="AF75">
        <f t="shared" si="0"/>
        <v>1100000</v>
      </c>
    </row>
    <row r="76" spans="1:32" x14ac:dyDescent="0.35">
      <c r="A76" s="1">
        <v>0</v>
      </c>
      <c r="B76" t="s">
        <v>545</v>
      </c>
      <c r="C76" t="s">
        <v>10</v>
      </c>
      <c r="D76" t="s">
        <v>39</v>
      </c>
      <c r="E76" t="s">
        <v>39</v>
      </c>
      <c r="F76" t="s">
        <v>62</v>
      </c>
      <c r="G76">
        <v>29</v>
      </c>
      <c r="H76" t="s">
        <v>300</v>
      </c>
      <c r="I76">
        <v>9.968288242816925E-2</v>
      </c>
      <c r="J76">
        <v>0.66780132055282593</v>
      </c>
      <c r="L76">
        <v>0</v>
      </c>
      <c r="O76" t="s">
        <v>36</v>
      </c>
      <c r="P76">
        <v>1</v>
      </c>
      <c r="Q76">
        <v>4250000</v>
      </c>
      <c r="R76">
        <v>4250000</v>
      </c>
      <c r="S76">
        <f t="shared" si="8"/>
        <v>0</v>
      </c>
      <c r="T76">
        <f t="shared" si="9"/>
        <v>1</v>
      </c>
      <c r="U76">
        <f t="shared" si="1"/>
        <v>0</v>
      </c>
      <c r="V76">
        <v>0</v>
      </c>
      <c r="W76">
        <f t="shared" si="2"/>
        <v>0</v>
      </c>
      <c r="X76">
        <f t="shared" si="3"/>
        <v>0</v>
      </c>
      <c r="Y76">
        <f t="shared" si="4"/>
        <v>0</v>
      </c>
      <c r="Z76">
        <f t="shared" si="5"/>
        <v>0</v>
      </c>
      <c r="AA76">
        <f t="shared" si="10"/>
        <v>0</v>
      </c>
      <c r="AB76">
        <f t="shared" si="11"/>
        <v>0</v>
      </c>
      <c r="AC76">
        <f t="shared" si="12"/>
        <v>0</v>
      </c>
      <c r="AD76">
        <f t="shared" si="6"/>
        <v>0</v>
      </c>
      <c r="AE76">
        <f t="shared" si="7"/>
        <v>0</v>
      </c>
      <c r="AF76">
        <f t="shared" si="0"/>
        <v>4250000</v>
      </c>
    </row>
    <row r="77" spans="1:32" x14ac:dyDescent="0.35">
      <c r="A77" s="1">
        <v>0</v>
      </c>
      <c r="B77" t="s">
        <v>247</v>
      </c>
      <c r="C77" t="s">
        <v>9</v>
      </c>
      <c r="D77" t="s">
        <v>39</v>
      </c>
      <c r="E77" t="s">
        <v>39</v>
      </c>
      <c r="F77" t="s">
        <v>66</v>
      </c>
      <c r="G77">
        <v>37</v>
      </c>
      <c r="H77" t="s">
        <v>248</v>
      </c>
      <c r="I77">
        <v>1.0153526067733765</v>
      </c>
      <c r="J77">
        <v>0.61965197324752808</v>
      </c>
      <c r="K77">
        <v>1</v>
      </c>
      <c r="L77">
        <v>8000000</v>
      </c>
      <c r="M77">
        <v>8000000</v>
      </c>
      <c r="O77" t="s">
        <v>66</v>
      </c>
      <c r="P77">
        <v>2</v>
      </c>
      <c r="Q77">
        <v>22000000</v>
      </c>
      <c r="R77">
        <v>11000000</v>
      </c>
      <c r="S77">
        <f t="shared" si="8"/>
        <v>0</v>
      </c>
      <c r="T77">
        <f t="shared" si="9"/>
        <v>0</v>
      </c>
      <c r="U77">
        <f t="shared" si="1"/>
        <v>1</v>
      </c>
      <c r="V77">
        <v>0</v>
      </c>
      <c r="W77">
        <f t="shared" si="2"/>
        <v>0</v>
      </c>
      <c r="X77">
        <f t="shared" si="3"/>
        <v>0</v>
      </c>
      <c r="Y77">
        <f t="shared" si="4"/>
        <v>0</v>
      </c>
      <c r="Z77">
        <f t="shared" si="5"/>
        <v>0</v>
      </c>
      <c r="AA77">
        <f t="shared" si="10"/>
        <v>0</v>
      </c>
      <c r="AB77">
        <f t="shared" si="11"/>
        <v>0</v>
      </c>
      <c r="AC77">
        <f t="shared" si="12"/>
        <v>0</v>
      </c>
      <c r="AD77">
        <f t="shared" si="6"/>
        <v>0</v>
      </c>
      <c r="AE77">
        <f t="shared" si="7"/>
        <v>0</v>
      </c>
      <c r="AF77">
        <f t="shared" si="0"/>
        <v>8000000</v>
      </c>
    </row>
    <row r="78" spans="1:32" x14ac:dyDescent="0.35">
      <c r="A78" s="1">
        <v>1</v>
      </c>
      <c r="B78" t="s">
        <v>415</v>
      </c>
      <c r="C78" t="s">
        <v>9</v>
      </c>
      <c r="D78" t="s">
        <v>39</v>
      </c>
      <c r="E78" t="s">
        <v>39</v>
      </c>
      <c r="F78" t="s">
        <v>149</v>
      </c>
      <c r="G78">
        <v>34</v>
      </c>
      <c r="H78" t="s">
        <v>416</v>
      </c>
      <c r="I78">
        <v>0.40387779474258423</v>
      </c>
      <c r="J78">
        <v>0.58305740356445313</v>
      </c>
      <c r="K78">
        <v>1</v>
      </c>
      <c r="L78">
        <v>5000000</v>
      </c>
      <c r="M78">
        <v>5000000</v>
      </c>
      <c r="O78" t="s">
        <v>86</v>
      </c>
      <c r="P78">
        <v>2</v>
      </c>
      <c r="Q78">
        <v>15000000</v>
      </c>
      <c r="R78">
        <v>7500000</v>
      </c>
      <c r="S78">
        <f t="shared" si="8"/>
        <v>0</v>
      </c>
      <c r="T78">
        <f t="shared" si="9"/>
        <v>0</v>
      </c>
      <c r="U78">
        <f t="shared" si="1"/>
        <v>1</v>
      </c>
      <c r="V78">
        <v>0</v>
      </c>
      <c r="W78">
        <f t="shared" si="2"/>
        <v>0</v>
      </c>
      <c r="X78">
        <f t="shared" si="3"/>
        <v>0</v>
      </c>
      <c r="Y78">
        <f t="shared" si="4"/>
        <v>0</v>
      </c>
      <c r="Z78">
        <f t="shared" si="5"/>
        <v>0</v>
      </c>
      <c r="AA78">
        <f t="shared" si="10"/>
        <v>0</v>
      </c>
      <c r="AB78">
        <f t="shared" si="11"/>
        <v>0</v>
      </c>
      <c r="AC78">
        <f t="shared" si="12"/>
        <v>0</v>
      </c>
      <c r="AD78">
        <f t="shared" si="6"/>
        <v>0</v>
      </c>
      <c r="AE78">
        <f t="shared" si="7"/>
        <v>0</v>
      </c>
      <c r="AF78">
        <f t="shared" si="0"/>
        <v>5000000</v>
      </c>
    </row>
    <row r="79" spans="1:32" x14ac:dyDescent="0.35">
      <c r="A79" s="1">
        <v>0</v>
      </c>
      <c r="B79" t="s">
        <v>333</v>
      </c>
      <c r="C79" t="s">
        <v>334</v>
      </c>
      <c r="D79" t="s">
        <v>39</v>
      </c>
      <c r="E79" t="s">
        <v>39</v>
      </c>
      <c r="F79" t="s">
        <v>66</v>
      </c>
      <c r="G79">
        <v>33</v>
      </c>
      <c r="H79" t="s">
        <v>335</v>
      </c>
      <c r="I79">
        <v>0.61565655469894409</v>
      </c>
      <c r="J79">
        <v>0.57740688323974609</v>
      </c>
      <c r="K79">
        <v>1</v>
      </c>
      <c r="L79">
        <v>5000000</v>
      </c>
      <c r="M79">
        <v>5000000</v>
      </c>
      <c r="O79" t="s">
        <v>66</v>
      </c>
      <c r="P79">
        <v>1</v>
      </c>
      <c r="Q79">
        <v>6500000</v>
      </c>
      <c r="R79">
        <v>6500000</v>
      </c>
      <c r="S79">
        <f t="shared" si="8"/>
        <v>0</v>
      </c>
      <c r="T79">
        <f t="shared" si="9"/>
        <v>0</v>
      </c>
      <c r="U79">
        <f t="shared" si="1"/>
        <v>0</v>
      </c>
      <c r="V79">
        <v>0</v>
      </c>
      <c r="W79">
        <f t="shared" si="2"/>
        <v>0</v>
      </c>
      <c r="X79">
        <f t="shared" si="3"/>
        <v>1</v>
      </c>
      <c r="Y79">
        <f t="shared" si="4"/>
        <v>1</v>
      </c>
      <c r="Z79">
        <f t="shared" si="5"/>
        <v>1</v>
      </c>
      <c r="AA79">
        <f t="shared" si="10"/>
        <v>1</v>
      </c>
      <c r="AB79">
        <f t="shared" si="11"/>
        <v>1</v>
      </c>
      <c r="AC79">
        <f t="shared" si="12"/>
        <v>1</v>
      </c>
      <c r="AD79">
        <f t="shared" si="6"/>
        <v>1</v>
      </c>
      <c r="AE79">
        <f t="shared" si="7"/>
        <v>0</v>
      </c>
      <c r="AF79">
        <f t="shared" si="0"/>
        <v>5000000</v>
      </c>
    </row>
    <row r="80" spans="1:32" x14ac:dyDescent="0.35">
      <c r="A80" s="1">
        <v>0</v>
      </c>
      <c r="B80" t="s">
        <v>603</v>
      </c>
      <c r="C80" t="s">
        <v>9</v>
      </c>
      <c r="D80" t="s">
        <v>33</v>
      </c>
      <c r="E80" t="s">
        <v>33</v>
      </c>
      <c r="F80" t="s">
        <v>48</v>
      </c>
      <c r="G80">
        <v>31</v>
      </c>
      <c r="H80" t="s">
        <v>604</v>
      </c>
      <c r="I80">
        <v>-4.955713078379631E-2</v>
      </c>
      <c r="J80">
        <v>0.54699242115020752</v>
      </c>
      <c r="K80">
        <v>1</v>
      </c>
      <c r="L80">
        <v>5000000</v>
      </c>
      <c r="M80">
        <v>5000000</v>
      </c>
      <c r="O80" t="s">
        <v>36</v>
      </c>
      <c r="P80">
        <v>2</v>
      </c>
      <c r="Q80">
        <v>22000000</v>
      </c>
      <c r="R80">
        <v>11000000</v>
      </c>
      <c r="S80">
        <f t="shared" si="8"/>
        <v>0</v>
      </c>
      <c r="T80">
        <f t="shared" si="9"/>
        <v>0</v>
      </c>
      <c r="U80">
        <f t="shared" si="1"/>
        <v>1</v>
      </c>
      <c r="V80">
        <v>0</v>
      </c>
      <c r="W80">
        <f t="shared" si="2"/>
        <v>0</v>
      </c>
      <c r="X80">
        <f t="shared" si="3"/>
        <v>0</v>
      </c>
      <c r="Y80">
        <f t="shared" si="4"/>
        <v>0</v>
      </c>
      <c r="Z80">
        <f t="shared" si="5"/>
        <v>0</v>
      </c>
      <c r="AA80">
        <f t="shared" si="10"/>
        <v>0</v>
      </c>
      <c r="AB80">
        <f t="shared" si="11"/>
        <v>0</v>
      </c>
      <c r="AC80">
        <f t="shared" si="12"/>
        <v>0</v>
      </c>
      <c r="AD80">
        <f t="shared" si="6"/>
        <v>0</v>
      </c>
      <c r="AE80">
        <f t="shared" si="7"/>
        <v>0</v>
      </c>
      <c r="AF80">
        <f t="shared" si="0"/>
        <v>5000000</v>
      </c>
    </row>
    <row r="81" spans="1:32" x14ac:dyDescent="0.35">
      <c r="A81" s="1">
        <v>0</v>
      </c>
      <c r="B81" t="s">
        <v>533</v>
      </c>
      <c r="C81" t="s">
        <v>9</v>
      </c>
      <c r="D81" t="s">
        <v>33</v>
      </c>
      <c r="E81" t="s">
        <v>33</v>
      </c>
      <c r="F81" t="s">
        <v>70</v>
      </c>
      <c r="G81">
        <v>37</v>
      </c>
      <c r="H81" t="s">
        <v>534</v>
      </c>
      <c r="I81">
        <v>0.11949363350868225</v>
      </c>
      <c r="J81">
        <v>0.5100407600402832</v>
      </c>
      <c r="L81">
        <v>0</v>
      </c>
      <c r="O81" t="s">
        <v>53</v>
      </c>
      <c r="P81">
        <v>1</v>
      </c>
      <c r="Q81">
        <v>2250000</v>
      </c>
      <c r="R81">
        <v>2250000</v>
      </c>
      <c r="S81">
        <f t="shared" si="8"/>
        <v>0</v>
      </c>
      <c r="T81">
        <f t="shared" si="9"/>
        <v>0</v>
      </c>
      <c r="U81">
        <f t="shared" si="1"/>
        <v>1</v>
      </c>
      <c r="V81">
        <v>0</v>
      </c>
      <c r="W81">
        <f t="shared" si="2"/>
        <v>0</v>
      </c>
      <c r="X81">
        <f t="shared" si="3"/>
        <v>0</v>
      </c>
      <c r="Y81">
        <f t="shared" si="4"/>
        <v>0</v>
      </c>
      <c r="Z81">
        <f t="shared" si="5"/>
        <v>0</v>
      </c>
      <c r="AA81">
        <f t="shared" si="10"/>
        <v>0</v>
      </c>
      <c r="AB81">
        <f t="shared" si="11"/>
        <v>0</v>
      </c>
      <c r="AC81">
        <f t="shared" si="12"/>
        <v>0</v>
      </c>
      <c r="AD81">
        <f t="shared" si="6"/>
        <v>0</v>
      </c>
      <c r="AE81">
        <f t="shared" si="7"/>
        <v>0</v>
      </c>
      <c r="AF81">
        <f t="shared" ref="AF81:AF144" si="13">IF(M81="", R81, M81)</f>
        <v>2250000</v>
      </c>
    </row>
    <row r="82" spans="1:32" x14ac:dyDescent="0.35">
      <c r="A82" s="1">
        <v>0</v>
      </c>
      <c r="B82" t="s">
        <v>156</v>
      </c>
      <c r="C82" t="s">
        <v>9</v>
      </c>
      <c r="D82" t="s">
        <v>39</v>
      </c>
      <c r="E82" t="s">
        <v>39</v>
      </c>
      <c r="F82" t="s">
        <v>97</v>
      </c>
      <c r="G82">
        <v>40</v>
      </c>
      <c r="H82" t="s">
        <v>157</v>
      </c>
      <c r="I82">
        <v>1.8453360795974731</v>
      </c>
      <c r="J82">
        <v>0.5094527006149292</v>
      </c>
      <c r="K82">
        <v>1</v>
      </c>
      <c r="L82">
        <v>10000000</v>
      </c>
      <c r="M82">
        <v>10000000</v>
      </c>
      <c r="O82" t="s">
        <v>134</v>
      </c>
      <c r="P82">
        <v>1</v>
      </c>
      <c r="Q82">
        <v>6000000</v>
      </c>
      <c r="R82">
        <v>6000000</v>
      </c>
      <c r="S82">
        <f t="shared" si="8"/>
        <v>0</v>
      </c>
      <c r="T82">
        <f t="shared" si="9"/>
        <v>0</v>
      </c>
      <c r="U82">
        <f t="shared" si="1"/>
        <v>1</v>
      </c>
      <c r="V82">
        <v>0</v>
      </c>
      <c r="W82">
        <f t="shared" si="2"/>
        <v>0</v>
      </c>
      <c r="X82">
        <f t="shared" si="3"/>
        <v>0</v>
      </c>
      <c r="Y82">
        <f t="shared" si="4"/>
        <v>0</v>
      </c>
      <c r="Z82">
        <f t="shared" si="5"/>
        <v>0</v>
      </c>
      <c r="AA82">
        <f t="shared" si="10"/>
        <v>0</v>
      </c>
      <c r="AB82">
        <f t="shared" si="11"/>
        <v>0</v>
      </c>
      <c r="AC82">
        <f t="shared" si="12"/>
        <v>0</v>
      </c>
      <c r="AD82">
        <f t="shared" si="6"/>
        <v>0</v>
      </c>
      <c r="AE82">
        <f t="shared" si="7"/>
        <v>0</v>
      </c>
      <c r="AF82">
        <f t="shared" si="13"/>
        <v>10000000</v>
      </c>
    </row>
    <row r="83" spans="1:32" x14ac:dyDescent="0.35">
      <c r="A83" s="1">
        <v>0</v>
      </c>
      <c r="B83" t="s">
        <v>412</v>
      </c>
      <c r="C83" t="s">
        <v>3</v>
      </c>
      <c r="D83" t="s">
        <v>39</v>
      </c>
      <c r="E83" t="s">
        <v>39</v>
      </c>
      <c r="F83" t="s">
        <v>102</v>
      </c>
      <c r="G83">
        <v>32</v>
      </c>
      <c r="H83" t="s">
        <v>413</v>
      </c>
      <c r="I83">
        <v>0.40625014901161194</v>
      </c>
      <c r="J83">
        <v>0.50772219896316528</v>
      </c>
      <c r="L83">
        <v>0</v>
      </c>
      <c r="O83" t="s">
        <v>102</v>
      </c>
      <c r="P83">
        <v>1</v>
      </c>
      <c r="Q83">
        <v>4000000</v>
      </c>
      <c r="R83">
        <v>4000000</v>
      </c>
      <c r="S83">
        <f t="shared" si="8"/>
        <v>0</v>
      </c>
      <c r="T83">
        <f t="shared" si="9"/>
        <v>0</v>
      </c>
      <c r="U83">
        <f t="shared" si="1"/>
        <v>0</v>
      </c>
      <c r="V83">
        <v>1</v>
      </c>
      <c r="W83">
        <f t="shared" si="2"/>
        <v>0</v>
      </c>
      <c r="X83">
        <f t="shared" si="3"/>
        <v>0</v>
      </c>
      <c r="Y83">
        <f t="shared" si="4"/>
        <v>0</v>
      </c>
      <c r="Z83">
        <f t="shared" si="5"/>
        <v>0</v>
      </c>
      <c r="AA83">
        <f t="shared" si="10"/>
        <v>0</v>
      </c>
      <c r="AB83">
        <f t="shared" si="11"/>
        <v>0</v>
      </c>
      <c r="AC83">
        <f t="shared" si="12"/>
        <v>0</v>
      </c>
      <c r="AD83">
        <f t="shared" si="6"/>
        <v>0</v>
      </c>
      <c r="AE83">
        <f t="shared" si="7"/>
        <v>0</v>
      </c>
      <c r="AF83">
        <f t="shared" si="13"/>
        <v>4000000</v>
      </c>
    </row>
    <row r="84" spans="1:32" x14ac:dyDescent="0.35">
      <c r="A84" s="1">
        <v>0</v>
      </c>
      <c r="B84" t="s">
        <v>324</v>
      </c>
      <c r="C84" t="s">
        <v>10</v>
      </c>
      <c r="D84" t="s">
        <v>39</v>
      </c>
      <c r="E84" t="s">
        <v>39</v>
      </c>
      <c r="F84" t="s">
        <v>134</v>
      </c>
      <c r="G84">
        <v>32</v>
      </c>
      <c r="H84" t="s">
        <v>325</v>
      </c>
      <c r="I84">
        <v>0.65727376937866211</v>
      </c>
      <c r="J84">
        <v>0.48997864127159119</v>
      </c>
      <c r="K84">
        <v>1</v>
      </c>
      <c r="L84">
        <v>5000000</v>
      </c>
      <c r="M84">
        <v>5000000</v>
      </c>
      <c r="O84" t="s">
        <v>86</v>
      </c>
      <c r="P84">
        <v>1</v>
      </c>
      <c r="Q84">
        <v>1000000</v>
      </c>
      <c r="R84">
        <v>1000000</v>
      </c>
      <c r="S84">
        <f t="shared" si="8"/>
        <v>0</v>
      </c>
      <c r="T84">
        <f t="shared" si="9"/>
        <v>1</v>
      </c>
      <c r="U84">
        <f t="shared" si="1"/>
        <v>0</v>
      </c>
      <c r="V84">
        <v>0</v>
      </c>
      <c r="W84">
        <f t="shared" si="2"/>
        <v>0</v>
      </c>
      <c r="X84">
        <f t="shared" si="3"/>
        <v>0</v>
      </c>
      <c r="Y84">
        <f t="shared" si="4"/>
        <v>0</v>
      </c>
      <c r="Z84">
        <f t="shared" si="5"/>
        <v>0</v>
      </c>
      <c r="AA84">
        <f t="shared" si="10"/>
        <v>0</v>
      </c>
      <c r="AB84">
        <f t="shared" si="11"/>
        <v>0</v>
      </c>
      <c r="AC84">
        <f t="shared" si="12"/>
        <v>0</v>
      </c>
      <c r="AD84">
        <f t="shared" si="6"/>
        <v>0</v>
      </c>
      <c r="AE84">
        <f t="shared" si="7"/>
        <v>0</v>
      </c>
      <c r="AF84">
        <f t="shared" si="13"/>
        <v>5000000</v>
      </c>
    </row>
    <row r="85" spans="1:32" x14ac:dyDescent="0.35">
      <c r="A85" s="1">
        <v>0</v>
      </c>
      <c r="B85" t="s">
        <v>221</v>
      </c>
      <c r="C85" t="s">
        <v>222</v>
      </c>
      <c r="D85" t="s">
        <v>39</v>
      </c>
      <c r="E85" t="s">
        <v>39</v>
      </c>
      <c r="F85" t="s">
        <v>149</v>
      </c>
      <c r="G85">
        <v>40</v>
      </c>
      <c r="H85" t="s">
        <v>223</v>
      </c>
      <c r="I85">
        <v>1.155468225479126</v>
      </c>
      <c r="J85">
        <v>0.48882424831390381</v>
      </c>
      <c r="K85">
        <v>1</v>
      </c>
      <c r="L85">
        <v>8000000</v>
      </c>
      <c r="M85">
        <v>8000000</v>
      </c>
      <c r="O85" t="s">
        <v>104</v>
      </c>
      <c r="P85">
        <v>1</v>
      </c>
      <c r="Q85">
        <v>6000000</v>
      </c>
      <c r="R85">
        <v>6000000</v>
      </c>
      <c r="S85">
        <f t="shared" si="8"/>
        <v>0</v>
      </c>
      <c r="T85">
        <f t="shared" si="9"/>
        <v>0</v>
      </c>
      <c r="U85">
        <f t="shared" si="1"/>
        <v>0</v>
      </c>
      <c r="V85">
        <v>0</v>
      </c>
      <c r="W85">
        <f t="shared" si="2"/>
        <v>1</v>
      </c>
      <c r="X85">
        <f t="shared" si="3"/>
        <v>0</v>
      </c>
      <c r="Y85">
        <f t="shared" si="4"/>
        <v>0</v>
      </c>
      <c r="Z85">
        <f t="shared" si="5"/>
        <v>0</v>
      </c>
      <c r="AA85">
        <f t="shared" si="10"/>
        <v>0</v>
      </c>
      <c r="AB85">
        <f t="shared" si="11"/>
        <v>0</v>
      </c>
      <c r="AC85">
        <f t="shared" si="12"/>
        <v>0</v>
      </c>
      <c r="AD85">
        <f t="shared" si="6"/>
        <v>0</v>
      </c>
      <c r="AE85">
        <f t="shared" si="7"/>
        <v>1</v>
      </c>
      <c r="AF85">
        <f t="shared" si="13"/>
        <v>8000000</v>
      </c>
    </row>
    <row r="86" spans="1:32" x14ac:dyDescent="0.35">
      <c r="A86" s="1">
        <v>0</v>
      </c>
      <c r="B86" t="s">
        <v>280</v>
      </c>
      <c r="C86" t="s">
        <v>10</v>
      </c>
      <c r="D86" t="s">
        <v>39</v>
      </c>
      <c r="E86" t="s">
        <v>39</v>
      </c>
      <c r="F86" t="s">
        <v>70</v>
      </c>
      <c r="G86">
        <v>32</v>
      </c>
      <c r="H86" t="s">
        <v>281</v>
      </c>
      <c r="I86">
        <v>0.84156197309494019</v>
      </c>
      <c r="J86">
        <v>0.48005053400993347</v>
      </c>
      <c r="K86">
        <v>1</v>
      </c>
      <c r="L86">
        <v>6000000</v>
      </c>
      <c r="M86">
        <v>6000000</v>
      </c>
      <c r="O86" t="s">
        <v>102</v>
      </c>
      <c r="P86">
        <v>1</v>
      </c>
      <c r="Q86">
        <v>4500000</v>
      </c>
      <c r="R86">
        <v>4500000</v>
      </c>
      <c r="S86">
        <f t="shared" si="8"/>
        <v>0</v>
      </c>
      <c r="T86">
        <f t="shared" si="9"/>
        <v>1</v>
      </c>
      <c r="U86">
        <f t="shared" si="1"/>
        <v>0</v>
      </c>
      <c r="V86">
        <v>0</v>
      </c>
      <c r="W86">
        <f t="shared" si="2"/>
        <v>0</v>
      </c>
      <c r="X86">
        <f t="shared" si="3"/>
        <v>0</v>
      </c>
      <c r="Y86">
        <f t="shared" si="4"/>
        <v>0</v>
      </c>
      <c r="Z86">
        <f t="shared" si="5"/>
        <v>0</v>
      </c>
      <c r="AA86">
        <f t="shared" si="10"/>
        <v>0</v>
      </c>
      <c r="AB86">
        <f t="shared" si="11"/>
        <v>0</v>
      </c>
      <c r="AC86">
        <f t="shared" si="12"/>
        <v>0</v>
      </c>
      <c r="AD86">
        <f t="shared" si="6"/>
        <v>0</v>
      </c>
      <c r="AE86">
        <f t="shared" si="7"/>
        <v>0</v>
      </c>
      <c r="AF86">
        <f t="shared" si="13"/>
        <v>6000000</v>
      </c>
    </row>
    <row r="87" spans="1:32" x14ac:dyDescent="0.35">
      <c r="A87" s="1">
        <v>0</v>
      </c>
      <c r="B87" t="s">
        <v>609</v>
      </c>
      <c r="C87" t="s">
        <v>191</v>
      </c>
      <c r="D87" t="s">
        <v>39</v>
      </c>
      <c r="E87" t="s">
        <v>39</v>
      </c>
      <c r="F87" t="s">
        <v>81</v>
      </c>
      <c r="G87">
        <v>37</v>
      </c>
      <c r="H87" t="s">
        <v>278</v>
      </c>
      <c r="I87">
        <v>-6.2733389437198639E-2</v>
      </c>
      <c r="J87">
        <v>0.47512528300285339</v>
      </c>
      <c r="K87">
        <v>1</v>
      </c>
      <c r="L87">
        <v>3000000</v>
      </c>
      <c r="M87">
        <v>3000000</v>
      </c>
      <c r="O87" t="s">
        <v>125</v>
      </c>
      <c r="P87">
        <v>1</v>
      </c>
      <c r="Q87">
        <v>4025000</v>
      </c>
      <c r="R87">
        <v>4025000</v>
      </c>
      <c r="S87">
        <f t="shared" si="8"/>
        <v>0</v>
      </c>
      <c r="T87">
        <f t="shared" si="9"/>
        <v>0</v>
      </c>
      <c r="U87">
        <f t="shared" ref="U87:U150" si="14">IF(ISNUMBER(SEARCH("RP", $C87)), 1, 0)</f>
        <v>0</v>
      </c>
      <c r="V87">
        <v>0</v>
      </c>
      <c r="W87">
        <f t="shared" ref="W87:W150" si="15">IF(ISNUMBER(SEARCH("1B", $C87)), 1, 0)</f>
        <v>0</v>
      </c>
      <c r="X87">
        <f t="shared" ref="X87:X150" si="16">IF(ISNUMBER(SEARCH("2B", $C87)), 1, 0)</f>
        <v>0</v>
      </c>
      <c r="Y87">
        <f t="shared" ref="Y87:Y150" si="17">IF(ISNUMBER(SEARCH("SS", $C87)), 1, 0)</f>
        <v>0</v>
      </c>
      <c r="Z87">
        <f t="shared" ref="Z87:Z150" si="18">IF(ISNUMBER(SEARCH("3B", $C87)), 1, 0)</f>
        <v>0</v>
      </c>
      <c r="AA87">
        <f t="shared" si="10"/>
        <v>1</v>
      </c>
      <c r="AB87">
        <f t="shared" si="11"/>
        <v>0</v>
      </c>
      <c r="AC87">
        <f t="shared" si="12"/>
        <v>1</v>
      </c>
      <c r="AD87">
        <f t="shared" ref="AD87:AD150" si="19">IF(ISNUMBER(SEARCH("OF", $C87)), 1, 0)</f>
        <v>0</v>
      </c>
      <c r="AE87">
        <f t="shared" ref="AE87:AE150" si="20">IF(ISNUMBER(SEARCH("DH", $C87)), 1, 0)</f>
        <v>1</v>
      </c>
      <c r="AF87">
        <f t="shared" si="13"/>
        <v>3000000</v>
      </c>
    </row>
    <row r="88" spans="1:32" x14ac:dyDescent="0.35">
      <c r="A88" s="1">
        <v>0</v>
      </c>
      <c r="B88" t="s">
        <v>276</v>
      </c>
      <c r="C88" t="s">
        <v>277</v>
      </c>
      <c r="D88" t="s">
        <v>39</v>
      </c>
      <c r="E88" t="s">
        <v>39</v>
      </c>
      <c r="F88" t="s">
        <v>42</v>
      </c>
      <c r="G88">
        <v>36</v>
      </c>
      <c r="H88" t="s">
        <v>278</v>
      </c>
      <c r="I88">
        <v>0.84329807758331299</v>
      </c>
      <c r="J88">
        <v>0.46673786640167236</v>
      </c>
      <c r="K88">
        <v>1</v>
      </c>
      <c r="L88">
        <v>8000000</v>
      </c>
      <c r="M88">
        <v>8000000</v>
      </c>
      <c r="O88" t="s">
        <v>81</v>
      </c>
      <c r="P88">
        <v>1</v>
      </c>
      <c r="Q88">
        <v>1400000</v>
      </c>
      <c r="R88">
        <v>1400000</v>
      </c>
      <c r="S88">
        <f t="shared" ref="S88:S151" si="21">IF(N88&gt;0, 1, 0)</f>
        <v>0</v>
      </c>
      <c r="T88">
        <f t="shared" ref="T88:T151" si="22">IF(ISNUMBER(SEARCH("SP", $C88)), 1, 0)</f>
        <v>0</v>
      </c>
      <c r="U88">
        <f t="shared" si="14"/>
        <v>0</v>
      </c>
      <c r="V88">
        <v>0</v>
      </c>
      <c r="W88">
        <f t="shared" si="15"/>
        <v>1</v>
      </c>
      <c r="X88">
        <f t="shared" si="16"/>
        <v>0</v>
      </c>
      <c r="Y88">
        <f t="shared" si="17"/>
        <v>0</v>
      </c>
      <c r="Z88">
        <f t="shared" si="18"/>
        <v>0</v>
      </c>
      <c r="AA88">
        <f t="shared" ref="AA88:AA151" si="23">IF($AD88=1, 1, IF(ISNUMBER(SEARCH("LF", $C88)), 1, 0))</f>
        <v>1</v>
      </c>
      <c r="AB88">
        <f t="shared" ref="AB88:AB151" si="24">IF($AD88=1, 1, IF(ISNUMBER(SEARCH("CF", $C88)), 1, 0))</f>
        <v>0</v>
      </c>
      <c r="AC88">
        <f t="shared" ref="AC88:AC151" si="25">IF($AD88=1, 1, IF(ISNUMBER(SEARCH("RF", $C88)), 1, 0))</f>
        <v>1</v>
      </c>
      <c r="AD88">
        <f t="shared" si="19"/>
        <v>0</v>
      </c>
      <c r="AE88">
        <f t="shared" si="20"/>
        <v>0</v>
      </c>
      <c r="AF88">
        <f t="shared" si="13"/>
        <v>8000000</v>
      </c>
    </row>
    <row r="89" spans="1:32" x14ac:dyDescent="0.35">
      <c r="A89" s="1">
        <v>0</v>
      </c>
      <c r="B89" t="s">
        <v>650</v>
      </c>
      <c r="C89" t="s">
        <v>273</v>
      </c>
      <c r="D89" t="s">
        <v>39</v>
      </c>
      <c r="E89" t="s">
        <v>39</v>
      </c>
      <c r="F89" t="s">
        <v>56</v>
      </c>
      <c r="G89">
        <v>32</v>
      </c>
      <c r="H89" t="s">
        <v>651</v>
      </c>
      <c r="I89">
        <v>-0.17791733145713806</v>
      </c>
      <c r="J89">
        <v>0.4653795063495636</v>
      </c>
      <c r="K89">
        <v>1</v>
      </c>
      <c r="L89">
        <v>4000000</v>
      </c>
      <c r="M89">
        <v>4000000</v>
      </c>
      <c r="O89" t="s">
        <v>151</v>
      </c>
      <c r="P89">
        <v>1</v>
      </c>
      <c r="Q89">
        <v>1750000</v>
      </c>
      <c r="R89">
        <v>1750000</v>
      </c>
      <c r="S89">
        <f t="shared" si="21"/>
        <v>0</v>
      </c>
      <c r="T89">
        <f t="shared" si="22"/>
        <v>0</v>
      </c>
      <c r="U89">
        <f t="shared" si="14"/>
        <v>0</v>
      </c>
      <c r="V89">
        <v>0</v>
      </c>
      <c r="W89">
        <f t="shared" si="15"/>
        <v>0</v>
      </c>
      <c r="X89">
        <f t="shared" si="16"/>
        <v>0</v>
      </c>
      <c r="Y89">
        <f t="shared" si="17"/>
        <v>0</v>
      </c>
      <c r="Z89">
        <f t="shared" si="18"/>
        <v>0</v>
      </c>
      <c r="AA89">
        <f t="shared" si="23"/>
        <v>1</v>
      </c>
      <c r="AB89">
        <f t="shared" si="24"/>
        <v>1</v>
      </c>
      <c r="AC89">
        <f t="shared" si="25"/>
        <v>1</v>
      </c>
      <c r="AD89">
        <f t="shared" si="19"/>
        <v>0</v>
      </c>
      <c r="AE89">
        <f t="shared" si="20"/>
        <v>0</v>
      </c>
      <c r="AF89">
        <f t="shared" si="13"/>
        <v>4000000</v>
      </c>
    </row>
    <row r="90" spans="1:32" x14ac:dyDescent="0.35">
      <c r="A90" s="1">
        <v>1</v>
      </c>
      <c r="B90" t="s">
        <v>292</v>
      </c>
      <c r="C90" t="s">
        <v>293</v>
      </c>
      <c r="D90" t="s">
        <v>39</v>
      </c>
      <c r="E90" t="s">
        <v>39</v>
      </c>
      <c r="F90" t="s">
        <v>46</v>
      </c>
      <c r="G90">
        <v>37</v>
      </c>
      <c r="H90" t="s">
        <v>294</v>
      </c>
      <c r="I90">
        <v>0.77848356962203979</v>
      </c>
      <c r="J90">
        <v>0.44243860244750977</v>
      </c>
      <c r="L90">
        <v>0</v>
      </c>
      <c r="O90" t="s">
        <v>149</v>
      </c>
      <c r="P90">
        <v>1</v>
      </c>
      <c r="Q90">
        <v>3500000</v>
      </c>
      <c r="R90">
        <v>3500000</v>
      </c>
      <c r="S90">
        <f t="shared" si="21"/>
        <v>0</v>
      </c>
      <c r="T90">
        <f t="shared" si="22"/>
        <v>0</v>
      </c>
      <c r="U90">
        <f t="shared" si="14"/>
        <v>0</v>
      </c>
      <c r="V90">
        <v>0</v>
      </c>
      <c r="W90">
        <f t="shared" si="15"/>
        <v>1</v>
      </c>
      <c r="X90">
        <f t="shared" si="16"/>
        <v>0</v>
      </c>
      <c r="Y90">
        <f t="shared" si="17"/>
        <v>0</v>
      </c>
      <c r="Z90">
        <f t="shared" si="18"/>
        <v>1</v>
      </c>
      <c r="AA90">
        <f t="shared" si="23"/>
        <v>0</v>
      </c>
      <c r="AB90">
        <f t="shared" si="24"/>
        <v>0</v>
      </c>
      <c r="AC90">
        <f t="shared" si="25"/>
        <v>0</v>
      </c>
      <c r="AD90">
        <f t="shared" si="19"/>
        <v>0</v>
      </c>
      <c r="AE90">
        <f t="shared" si="20"/>
        <v>1</v>
      </c>
      <c r="AF90">
        <f t="shared" si="13"/>
        <v>3500000</v>
      </c>
    </row>
    <row r="91" spans="1:32" x14ac:dyDescent="0.35">
      <c r="A91" s="1">
        <v>0</v>
      </c>
      <c r="B91" t="s">
        <v>187</v>
      </c>
      <c r="C91" t="s">
        <v>9</v>
      </c>
      <c r="D91" t="s">
        <v>45</v>
      </c>
      <c r="E91" t="s">
        <v>39</v>
      </c>
      <c r="F91" t="s">
        <v>53</v>
      </c>
      <c r="G91">
        <v>37</v>
      </c>
      <c r="H91" t="s">
        <v>188</v>
      </c>
      <c r="I91">
        <v>1.4145267009735107</v>
      </c>
      <c r="J91">
        <v>0.440388023853302</v>
      </c>
      <c r="K91">
        <v>1</v>
      </c>
      <c r="L91">
        <v>12000000</v>
      </c>
      <c r="M91">
        <v>12000000</v>
      </c>
      <c r="O91" t="s">
        <v>62</v>
      </c>
      <c r="P91">
        <v>1</v>
      </c>
      <c r="Q91">
        <v>10000000</v>
      </c>
      <c r="R91">
        <v>10000000</v>
      </c>
      <c r="S91">
        <f t="shared" si="21"/>
        <v>0</v>
      </c>
      <c r="T91">
        <f t="shared" si="22"/>
        <v>0</v>
      </c>
      <c r="U91">
        <f t="shared" si="14"/>
        <v>1</v>
      </c>
      <c r="V91">
        <v>0</v>
      </c>
      <c r="W91">
        <f t="shared" si="15"/>
        <v>0</v>
      </c>
      <c r="X91">
        <f t="shared" si="16"/>
        <v>0</v>
      </c>
      <c r="Y91">
        <f t="shared" si="17"/>
        <v>0</v>
      </c>
      <c r="Z91">
        <f t="shared" si="18"/>
        <v>0</v>
      </c>
      <c r="AA91">
        <f t="shared" si="23"/>
        <v>0</v>
      </c>
      <c r="AB91">
        <f t="shared" si="24"/>
        <v>0</v>
      </c>
      <c r="AC91">
        <f t="shared" si="25"/>
        <v>0</v>
      </c>
      <c r="AD91">
        <f t="shared" si="19"/>
        <v>0</v>
      </c>
      <c r="AE91">
        <f t="shared" si="20"/>
        <v>0</v>
      </c>
      <c r="AF91">
        <f t="shared" si="13"/>
        <v>12000000</v>
      </c>
    </row>
    <row r="92" spans="1:32" x14ac:dyDescent="0.35">
      <c r="A92" s="1">
        <v>0</v>
      </c>
      <c r="B92" t="s">
        <v>283</v>
      </c>
      <c r="C92" t="s">
        <v>65</v>
      </c>
      <c r="D92" t="s">
        <v>33</v>
      </c>
      <c r="E92" t="s">
        <v>33</v>
      </c>
      <c r="F92" t="s">
        <v>51</v>
      </c>
      <c r="G92">
        <v>35</v>
      </c>
      <c r="H92" t="s">
        <v>284</v>
      </c>
      <c r="I92">
        <v>0.83742117881774902</v>
      </c>
      <c r="J92">
        <v>0.43120884895324707</v>
      </c>
      <c r="K92">
        <v>1</v>
      </c>
      <c r="L92">
        <v>6000000</v>
      </c>
      <c r="M92">
        <v>6000000</v>
      </c>
      <c r="O92" t="s">
        <v>46</v>
      </c>
      <c r="P92">
        <v>1</v>
      </c>
      <c r="Q92">
        <v>1000000</v>
      </c>
      <c r="R92">
        <v>1000000</v>
      </c>
      <c r="S92">
        <f t="shared" si="21"/>
        <v>0</v>
      </c>
      <c r="T92">
        <f t="shared" si="22"/>
        <v>0</v>
      </c>
      <c r="U92">
        <f t="shared" si="14"/>
        <v>0</v>
      </c>
      <c r="V92">
        <v>0</v>
      </c>
      <c r="W92">
        <f t="shared" si="15"/>
        <v>0</v>
      </c>
      <c r="X92">
        <f t="shared" si="16"/>
        <v>0</v>
      </c>
      <c r="Y92">
        <f t="shared" si="17"/>
        <v>0</v>
      </c>
      <c r="Z92">
        <f t="shared" si="18"/>
        <v>0</v>
      </c>
      <c r="AA92">
        <f t="shared" si="23"/>
        <v>1</v>
      </c>
      <c r="AB92">
        <f t="shared" si="24"/>
        <v>0</v>
      </c>
      <c r="AC92">
        <f t="shared" si="25"/>
        <v>1</v>
      </c>
      <c r="AD92">
        <f t="shared" si="19"/>
        <v>0</v>
      </c>
      <c r="AE92">
        <f t="shared" si="20"/>
        <v>0</v>
      </c>
      <c r="AF92">
        <f t="shared" si="13"/>
        <v>6000000</v>
      </c>
    </row>
    <row r="93" spans="1:32" x14ac:dyDescent="0.35">
      <c r="A93" s="1">
        <v>0</v>
      </c>
      <c r="B93" t="s">
        <v>508</v>
      </c>
      <c r="C93" t="s">
        <v>116</v>
      </c>
      <c r="D93" t="s">
        <v>39</v>
      </c>
      <c r="E93" t="s">
        <v>39</v>
      </c>
      <c r="F93" t="s">
        <v>134</v>
      </c>
      <c r="G93">
        <v>29</v>
      </c>
      <c r="H93" t="s">
        <v>290</v>
      </c>
      <c r="I93">
        <v>0.16543266177177429</v>
      </c>
      <c r="J93">
        <v>0.42910003662109375</v>
      </c>
      <c r="L93">
        <v>0</v>
      </c>
      <c r="O93" t="s">
        <v>70</v>
      </c>
      <c r="P93">
        <v>1</v>
      </c>
      <c r="Q93">
        <v>5000000</v>
      </c>
      <c r="R93">
        <v>5000000</v>
      </c>
      <c r="S93">
        <f t="shared" si="21"/>
        <v>0</v>
      </c>
      <c r="T93">
        <f t="shared" si="22"/>
        <v>0</v>
      </c>
      <c r="U93">
        <f t="shared" si="14"/>
        <v>0</v>
      </c>
      <c r="V93">
        <v>0</v>
      </c>
      <c r="W93">
        <f t="shared" si="15"/>
        <v>0</v>
      </c>
      <c r="X93">
        <f t="shared" si="16"/>
        <v>0</v>
      </c>
      <c r="Y93">
        <f t="shared" si="17"/>
        <v>0</v>
      </c>
      <c r="Z93">
        <f t="shared" si="18"/>
        <v>0</v>
      </c>
      <c r="AA93">
        <f t="shared" si="23"/>
        <v>1</v>
      </c>
      <c r="AB93">
        <f t="shared" si="24"/>
        <v>1</v>
      </c>
      <c r="AC93">
        <f t="shared" si="25"/>
        <v>1</v>
      </c>
      <c r="AD93">
        <f t="shared" si="19"/>
        <v>0</v>
      </c>
      <c r="AE93">
        <f t="shared" si="20"/>
        <v>0</v>
      </c>
      <c r="AF93">
        <f t="shared" si="13"/>
        <v>5000000</v>
      </c>
    </row>
    <row r="94" spans="1:32" x14ac:dyDescent="0.35">
      <c r="A94" s="1">
        <v>0</v>
      </c>
      <c r="B94" t="s">
        <v>456</v>
      </c>
      <c r="C94" t="s">
        <v>9</v>
      </c>
      <c r="D94" t="s">
        <v>39</v>
      </c>
      <c r="E94" t="s">
        <v>33</v>
      </c>
      <c r="F94" t="s">
        <v>51</v>
      </c>
      <c r="G94">
        <v>28</v>
      </c>
      <c r="H94" t="s">
        <v>457</v>
      </c>
      <c r="I94">
        <v>0.27226126194000244</v>
      </c>
      <c r="J94">
        <v>0.41508489847183228</v>
      </c>
      <c r="K94">
        <v>1</v>
      </c>
      <c r="L94">
        <v>3000000</v>
      </c>
      <c r="M94">
        <v>3000000</v>
      </c>
      <c r="O94" t="s">
        <v>125</v>
      </c>
      <c r="P94">
        <v>1</v>
      </c>
      <c r="Q94">
        <v>3000000</v>
      </c>
      <c r="R94">
        <v>3000000</v>
      </c>
      <c r="S94">
        <f t="shared" si="21"/>
        <v>0</v>
      </c>
      <c r="T94">
        <f t="shared" si="22"/>
        <v>0</v>
      </c>
      <c r="U94">
        <f t="shared" si="14"/>
        <v>1</v>
      </c>
      <c r="V94">
        <v>0</v>
      </c>
      <c r="W94">
        <f t="shared" si="15"/>
        <v>0</v>
      </c>
      <c r="X94">
        <f t="shared" si="16"/>
        <v>0</v>
      </c>
      <c r="Y94">
        <f t="shared" si="17"/>
        <v>0</v>
      </c>
      <c r="Z94">
        <f t="shared" si="18"/>
        <v>0</v>
      </c>
      <c r="AA94">
        <f t="shared" si="23"/>
        <v>0</v>
      </c>
      <c r="AB94">
        <f t="shared" si="24"/>
        <v>0</v>
      </c>
      <c r="AC94">
        <f t="shared" si="25"/>
        <v>0</v>
      </c>
      <c r="AD94">
        <f t="shared" si="19"/>
        <v>0</v>
      </c>
      <c r="AE94">
        <f t="shared" si="20"/>
        <v>0</v>
      </c>
      <c r="AF94">
        <f t="shared" si="13"/>
        <v>3000000</v>
      </c>
    </row>
    <row r="95" spans="1:32" x14ac:dyDescent="0.35">
      <c r="A95" s="1">
        <v>0</v>
      </c>
      <c r="B95" t="s">
        <v>144</v>
      </c>
      <c r="C95" t="s">
        <v>9</v>
      </c>
      <c r="D95" t="s">
        <v>33</v>
      </c>
      <c r="E95" t="s">
        <v>39</v>
      </c>
      <c r="F95" t="s">
        <v>97</v>
      </c>
      <c r="G95">
        <v>38</v>
      </c>
      <c r="H95" t="s">
        <v>145</v>
      </c>
      <c r="I95">
        <v>1.8954391479492188</v>
      </c>
      <c r="J95">
        <v>0.41145837306976318</v>
      </c>
      <c r="K95">
        <v>1</v>
      </c>
      <c r="L95">
        <v>9000000</v>
      </c>
      <c r="M95">
        <v>9000000</v>
      </c>
      <c r="O95" t="s">
        <v>66</v>
      </c>
      <c r="P95">
        <v>1</v>
      </c>
      <c r="Q95">
        <v>13000000</v>
      </c>
      <c r="R95">
        <v>13000000</v>
      </c>
      <c r="S95">
        <f t="shared" si="21"/>
        <v>0</v>
      </c>
      <c r="T95">
        <f t="shared" si="22"/>
        <v>0</v>
      </c>
      <c r="U95">
        <f t="shared" si="14"/>
        <v>1</v>
      </c>
      <c r="V95">
        <v>0</v>
      </c>
      <c r="W95">
        <f t="shared" si="15"/>
        <v>0</v>
      </c>
      <c r="X95">
        <f t="shared" si="16"/>
        <v>0</v>
      </c>
      <c r="Y95">
        <f t="shared" si="17"/>
        <v>0</v>
      </c>
      <c r="Z95">
        <f t="shared" si="18"/>
        <v>0</v>
      </c>
      <c r="AA95">
        <f t="shared" si="23"/>
        <v>0</v>
      </c>
      <c r="AB95">
        <f t="shared" si="24"/>
        <v>0</v>
      </c>
      <c r="AC95">
        <f t="shared" si="25"/>
        <v>0</v>
      </c>
      <c r="AD95">
        <f t="shared" si="19"/>
        <v>0</v>
      </c>
      <c r="AE95">
        <f t="shared" si="20"/>
        <v>0</v>
      </c>
      <c r="AF95">
        <f t="shared" si="13"/>
        <v>9000000</v>
      </c>
    </row>
    <row r="96" spans="1:32" x14ac:dyDescent="0.35">
      <c r="A96" s="1">
        <v>0</v>
      </c>
      <c r="B96" t="s">
        <v>496</v>
      </c>
      <c r="C96" t="s">
        <v>9</v>
      </c>
      <c r="D96" t="s">
        <v>39</v>
      </c>
      <c r="E96" t="s">
        <v>33</v>
      </c>
      <c r="F96" t="s">
        <v>100</v>
      </c>
      <c r="G96">
        <v>38</v>
      </c>
      <c r="H96" t="s">
        <v>497</v>
      </c>
      <c r="I96">
        <v>0.19309237599372864</v>
      </c>
      <c r="J96">
        <v>0.39941444993019104</v>
      </c>
      <c r="K96">
        <v>1</v>
      </c>
      <c r="L96">
        <v>3000000</v>
      </c>
      <c r="M96">
        <v>3000000</v>
      </c>
      <c r="O96" t="s">
        <v>104</v>
      </c>
      <c r="P96">
        <v>1</v>
      </c>
      <c r="Q96">
        <v>2750000</v>
      </c>
      <c r="R96">
        <v>2750000</v>
      </c>
      <c r="S96">
        <f t="shared" si="21"/>
        <v>0</v>
      </c>
      <c r="T96">
        <f t="shared" si="22"/>
        <v>0</v>
      </c>
      <c r="U96">
        <f t="shared" si="14"/>
        <v>1</v>
      </c>
      <c r="V96">
        <v>0</v>
      </c>
      <c r="W96">
        <f t="shared" si="15"/>
        <v>0</v>
      </c>
      <c r="X96">
        <f t="shared" si="16"/>
        <v>0</v>
      </c>
      <c r="Y96">
        <f t="shared" si="17"/>
        <v>0</v>
      </c>
      <c r="Z96">
        <f t="shared" si="18"/>
        <v>0</v>
      </c>
      <c r="AA96">
        <f t="shared" si="23"/>
        <v>0</v>
      </c>
      <c r="AB96">
        <f t="shared" si="24"/>
        <v>0</v>
      </c>
      <c r="AC96">
        <f t="shared" si="25"/>
        <v>0</v>
      </c>
      <c r="AD96">
        <f t="shared" si="19"/>
        <v>0</v>
      </c>
      <c r="AE96">
        <f t="shared" si="20"/>
        <v>0</v>
      </c>
      <c r="AF96">
        <f t="shared" si="13"/>
        <v>3000000</v>
      </c>
    </row>
    <row r="97" spans="1:32" x14ac:dyDescent="0.35">
      <c r="A97" s="1">
        <v>0</v>
      </c>
      <c r="B97" t="s">
        <v>272</v>
      </c>
      <c r="C97" t="s">
        <v>273</v>
      </c>
      <c r="D97" t="s">
        <v>39</v>
      </c>
      <c r="E97" t="s">
        <v>39</v>
      </c>
      <c r="F97" t="s">
        <v>48</v>
      </c>
      <c r="G97">
        <v>30</v>
      </c>
      <c r="H97" t="s">
        <v>274</v>
      </c>
      <c r="I97">
        <v>0.8853071928024292</v>
      </c>
      <c r="J97">
        <v>0.39796406030654913</v>
      </c>
      <c r="L97">
        <v>0</v>
      </c>
      <c r="O97" t="s">
        <v>56</v>
      </c>
      <c r="P97">
        <v>1</v>
      </c>
      <c r="Q97">
        <v>4000000</v>
      </c>
      <c r="R97">
        <v>4000000</v>
      </c>
      <c r="S97">
        <f t="shared" si="21"/>
        <v>0</v>
      </c>
      <c r="T97">
        <f t="shared" si="22"/>
        <v>0</v>
      </c>
      <c r="U97">
        <f t="shared" si="14"/>
        <v>0</v>
      </c>
      <c r="V97">
        <v>0</v>
      </c>
      <c r="W97">
        <f t="shared" si="15"/>
        <v>0</v>
      </c>
      <c r="X97">
        <f t="shared" si="16"/>
        <v>0</v>
      </c>
      <c r="Y97">
        <f t="shared" si="17"/>
        <v>0</v>
      </c>
      <c r="Z97">
        <f t="shared" si="18"/>
        <v>0</v>
      </c>
      <c r="AA97">
        <f t="shared" si="23"/>
        <v>1</v>
      </c>
      <c r="AB97">
        <f t="shared" si="24"/>
        <v>1</v>
      </c>
      <c r="AC97">
        <f t="shared" si="25"/>
        <v>1</v>
      </c>
      <c r="AD97">
        <f t="shared" si="19"/>
        <v>0</v>
      </c>
      <c r="AE97">
        <f t="shared" si="20"/>
        <v>0</v>
      </c>
      <c r="AF97">
        <f t="shared" si="13"/>
        <v>4000000</v>
      </c>
    </row>
    <row r="98" spans="1:32" x14ac:dyDescent="0.35">
      <c r="A98" s="1">
        <v>0</v>
      </c>
      <c r="B98" t="s">
        <v>673</v>
      </c>
      <c r="C98" t="s">
        <v>116</v>
      </c>
      <c r="D98" t="s">
        <v>39</v>
      </c>
      <c r="E98" t="s">
        <v>39</v>
      </c>
      <c r="F98" t="s">
        <v>100</v>
      </c>
      <c r="G98">
        <v>30</v>
      </c>
      <c r="H98" t="s">
        <v>674</v>
      </c>
      <c r="I98">
        <v>-0.20828850567340851</v>
      </c>
      <c r="J98">
        <v>0.38682490587234497</v>
      </c>
      <c r="L98">
        <v>0</v>
      </c>
      <c r="O98" t="s">
        <v>78</v>
      </c>
      <c r="P98">
        <v>1</v>
      </c>
      <c r="Q98">
        <v>293548</v>
      </c>
      <c r="R98">
        <v>293548</v>
      </c>
      <c r="S98">
        <f t="shared" si="21"/>
        <v>0</v>
      </c>
      <c r="T98">
        <f t="shared" si="22"/>
        <v>0</v>
      </c>
      <c r="U98">
        <f t="shared" si="14"/>
        <v>0</v>
      </c>
      <c r="V98">
        <v>0</v>
      </c>
      <c r="W98">
        <f t="shared" si="15"/>
        <v>0</v>
      </c>
      <c r="X98">
        <f t="shared" si="16"/>
        <v>0</v>
      </c>
      <c r="Y98">
        <f t="shared" si="17"/>
        <v>0</v>
      </c>
      <c r="Z98">
        <f t="shared" si="18"/>
        <v>0</v>
      </c>
      <c r="AA98">
        <f t="shared" si="23"/>
        <v>1</v>
      </c>
      <c r="AB98">
        <f t="shared" si="24"/>
        <v>1</v>
      </c>
      <c r="AC98">
        <f t="shared" si="25"/>
        <v>1</v>
      </c>
      <c r="AD98">
        <f t="shared" si="19"/>
        <v>0</v>
      </c>
      <c r="AE98">
        <f t="shared" si="20"/>
        <v>0</v>
      </c>
      <c r="AF98">
        <f t="shared" si="13"/>
        <v>293548</v>
      </c>
    </row>
    <row r="99" spans="1:32" x14ac:dyDescent="0.35">
      <c r="A99" s="1">
        <v>0</v>
      </c>
      <c r="B99" t="s">
        <v>387</v>
      </c>
      <c r="C99" t="s">
        <v>3</v>
      </c>
      <c r="D99" t="s">
        <v>39</v>
      </c>
      <c r="E99" t="s">
        <v>39</v>
      </c>
      <c r="F99" t="s">
        <v>46</v>
      </c>
      <c r="G99">
        <v>34</v>
      </c>
      <c r="H99" t="s">
        <v>388</v>
      </c>
      <c r="I99">
        <v>0.47663778066635132</v>
      </c>
      <c r="J99">
        <v>0.38507866859436035</v>
      </c>
      <c r="L99">
        <v>0</v>
      </c>
      <c r="O99" t="s">
        <v>46</v>
      </c>
      <c r="P99">
        <v>1</v>
      </c>
      <c r="Q99">
        <v>3500000</v>
      </c>
      <c r="R99">
        <v>3500000</v>
      </c>
      <c r="S99">
        <f t="shared" si="21"/>
        <v>0</v>
      </c>
      <c r="T99">
        <f t="shared" si="22"/>
        <v>0</v>
      </c>
      <c r="U99">
        <f t="shared" si="14"/>
        <v>0</v>
      </c>
      <c r="V99">
        <v>1</v>
      </c>
      <c r="W99">
        <f t="shared" si="15"/>
        <v>0</v>
      </c>
      <c r="X99">
        <f t="shared" si="16"/>
        <v>0</v>
      </c>
      <c r="Y99">
        <f t="shared" si="17"/>
        <v>0</v>
      </c>
      <c r="Z99">
        <f t="shared" si="18"/>
        <v>0</v>
      </c>
      <c r="AA99">
        <f t="shared" si="23"/>
        <v>0</v>
      </c>
      <c r="AB99">
        <f t="shared" si="24"/>
        <v>0</v>
      </c>
      <c r="AC99">
        <f t="shared" si="25"/>
        <v>0</v>
      </c>
      <c r="AD99">
        <f t="shared" si="19"/>
        <v>0</v>
      </c>
      <c r="AE99">
        <f t="shared" si="20"/>
        <v>0</v>
      </c>
      <c r="AF99">
        <f t="shared" si="13"/>
        <v>3500000</v>
      </c>
    </row>
    <row r="100" spans="1:32" x14ac:dyDescent="0.35">
      <c r="A100" s="1">
        <v>0</v>
      </c>
      <c r="B100" t="s">
        <v>289</v>
      </c>
      <c r="C100" t="s">
        <v>10</v>
      </c>
      <c r="D100" t="s">
        <v>39</v>
      </c>
      <c r="E100" t="s">
        <v>39</v>
      </c>
      <c r="F100" t="s">
        <v>40</v>
      </c>
      <c r="G100">
        <v>34</v>
      </c>
      <c r="H100" t="s">
        <v>290</v>
      </c>
      <c r="I100">
        <v>0.80433559417724609</v>
      </c>
      <c r="J100">
        <v>0.38284176588058472</v>
      </c>
      <c r="L100">
        <v>0</v>
      </c>
      <c r="O100" t="s">
        <v>104</v>
      </c>
      <c r="P100">
        <v>1</v>
      </c>
      <c r="Q100">
        <v>5000000</v>
      </c>
      <c r="R100">
        <v>5000000</v>
      </c>
      <c r="S100">
        <f t="shared" si="21"/>
        <v>0</v>
      </c>
      <c r="T100">
        <f t="shared" si="22"/>
        <v>1</v>
      </c>
      <c r="U100">
        <f t="shared" si="14"/>
        <v>0</v>
      </c>
      <c r="V100">
        <v>0</v>
      </c>
      <c r="W100">
        <f t="shared" si="15"/>
        <v>0</v>
      </c>
      <c r="X100">
        <f t="shared" si="16"/>
        <v>0</v>
      </c>
      <c r="Y100">
        <f t="shared" si="17"/>
        <v>0</v>
      </c>
      <c r="Z100">
        <f t="shared" si="18"/>
        <v>0</v>
      </c>
      <c r="AA100">
        <f t="shared" si="23"/>
        <v>0</v>
      </c>
      <c r="AB100">
        <f t="shared" si="24"/>
        <v>0</v>
      </c>
      <c r="AC100">
        <f t="shared" si="25"/>
        <v>0</v>
      </c>
      <c r="AD100">
        <f t="shared" si="19"/>
        <v>0</v>
      </c>
      <c r="AE100">
        <f t="shared" si="20"/>
        <v>0</v>
      </c>
      <c r="AF100">
        <f t="shared" si="13"/>
        <v>5000000</v>
      </c>
    </row>
    <row r="101" spans="1:32" x14ac:dyDescent="0.35">
      <c r="A101" s="1">
        <v>0</v>
      </c>
      <c r="B101" t="s">
        <v>633</v>
      </c>
      <c r="C101" t="s">
        <v>10</v>
      </c>
      <c r="D101" t="s">
        <v>33</v>
      </c>
      <c r="E101" t="s">
        <v>33</v>
      </c>
      <c r="F101" t="s">
        <v>40</v>
      </c>
      <c r="G101">
        <v>38</v>
      </c>
      <c r="H101" t="s">
        <v>634</v>
      </c>
      <c r="I101">
        <v>-0.11162987351417542</v>
      </c>
      <c r="J101">
        <v>0.37820380926132202</v>
      </c>
      <c r="L101">
        <v>0</v>
      </c>
      <c r="O101" t="s">
        <v>70</v>
      </c>
      <c r="P101">
        <v>1</v>
      </c>
      <c r="Q101">
        <v>1572581</v>
      </c>
      <c r="R101">
        <v>1572581</v>
      </c>
      <c r="S101">
        <f t="shared" si="21"/>
        <v>0</v>
      </c>
      <c r="T101">
        <f t="shared" si="22"/>
        <v>1</v>
      </c>
      <c r="U101">
        <f t="shared" si="14"/>
        <v>0</v>
      </c>
      <c r="V101">
        <v>0</v>
      </c>
      <c r="W101">
        <f t="shared" si="15"/>
        <v>0</v>
      </c>
      <c r="X101">
        <f t="shared" si="16"/>
        <v>0</v>
      </c>
      <c r="Y101">
        <f t="shared" si="17"/>
        <v>0</v>
      </c>
      <c r="Z101">
        <f t="shared" si="18"/>
        <v>0</v>
      </c>
      <c r="AA101">
        <f t="shared" si="23"/>
        <v>0</v>
      </c>
      <c r="AB101">
        <f t="shared" si="24"/>
        <v>0</v>
      </c>
      <c r="AC101">
        <f t="shared" si="25"/>
        <v>0</v>
      </c>
      <c r="AD101">
        <f t="shared" si="19"/>
        <v>0</v>
      </c>
      <c r="AE101">
        <f t="shared" si="20"/>
        <v>0</v>
      </c>
      <c r="AF101">
        <f t="shared" si="13"/>
        <v>1572581</v>
      </c>
    </row>
    <row r="102" spans="1:32" x14ac:dyDescent="0.35">
      <c r="A102" s="1">
        <v>0</v>
      </c>
      <c r="B102" t="s">
        <v>380</v>
      </c>
      <c r="C102" t="s">
        <v>381</v>
      </c>
      <c r="D102" t="s">
        <v>39</v>
      </c>
      <c r="E102" t="s">
        <v>39</v>
      </c>
      <c r="F102" t="s">
        <v>81</v>
      </c>
      <c r="G102">
        <v>30</v>
      </c>
      <c r="H102" t="s">
        <v>382</v>
      </c>
      <c r="I102">
        <v>0.48683470487594604</v>
      </c>
      <c r="J102">
        <v>8.0123461782932281E-2</v>
      </c>
      <c r="L102">
        <v>0</v>
      </c>
      <c r="O102" t="s">
        <v>58</v>
      </c>
      <c r="P102">
        <v>1</v>
      </c>
      <c r="Q102">
        <v>1500000</v>
      </c>
      <c r="R102">
        <v>1500000</v>
      </c>
      <c r="S102">
        <f t="shared" si="21"/>
        <v>0</v>
      </c>
      <c r="T102">
        <f t="shared" si="22"/>
        <v>0</v>
      </c>
      <c r="U102">
        <f t="shared" si="14"/>
        <v>0</v>
      </c>
      <c r="V102">
        <v>0</v>
      </c>
      <c r="W102">
        <f t="shared" si="15"/>
        <v>0</v>
      </c>
      <c r="X102">
        <f t="shared" si="16"/>
        <v>1</v>
      </c>
      <c r="Y102">
        <f t="shared" si="17"/>
        <v>1</v>
      </c>
      <c r="Z102">
        <f t="shared" si="18"/>
        <v>1</v>
      </c>
      <c r="AA102">
        <f t="shared" si="23"/>
        <v>1</v>
      </c>
      <c r="AB102">
        <f t="shared" si="24"/>
        <v>1</v>
      </c>
      <c r="AC102">
        <f t="shared" si="25"/>
        <v>1</v>
      </c>
      <c r="AD102">
        <f t="shared" si="19"/>
        <v>1</v>
      </c>
      <c r="AE102">
        <f t="shared" si="20"/>
        <v>0</v>
      </c>
      <c r="AF102">
        <f t="shared" si="13"/>
        <v>1500000</v>
      </c>
    </row>
    <row r="103" spans="1:32" x14ac:dyDescent="0.35">
      <c r="A103" s="1">
        <v>0</v>
      </c>
      <c r="B103" t="s">
        <v>340</v>
      </c>
      <c r="C103" t="s">
        <v>65</v>
      </c>
      <c r="D103" t="s">
        <v>33</v>
      </c>
      <c r="E103" t="s">
        <v>33</v>
      </c>
      <c r="F103" t="s">
        <v>34</v>
      </c>
      <c r="G103">
        <v>29</v>
      </c>
      <c r="H103" t="s">
        <v>341</v>
      </c>
      <c r="I103">
        <v>0.60074925422668457</v>
      </c>
      <c r="J103">
        <v>0.3627261221408844</v>
      </c>
      <c r="K103">
        <v>2</v>
      </c>
      <c r="L103">
        <v>16000000</v>
      </c>
      <c r="M103">
        <v>8000000</v>
      </c>
      <c r="O103" t="s">
        <v>48</v>
      </c>
      <c r="P103">
        <v>1</v>
      </c>
      <c r="Q103">
        <v>1500000</v>
      </c>
      <c r="R103">
        <v>1500000</v>
      </c>
      <c r="S103">
        <f t="shared" si="21"/>
        <v>0</v>
      </c>
      <c r="T103">
        <f t="shared" si="22"/>
        <v>0</v>
      </c>
      <c r="U103">
        <f t="shared" si="14"/>
        <v>0</v>
      </c>
      <c r="V103">
        <v>0</v>
      </c>
      <c r="W103">
        <f t="shared" si="15"/>
        <v>0</v>
      </c>
      <c r="X103">
        <f t="shared" si="16"/>
        <v>0</v>
      </c>
      <c r="Y103">
        <f t="shared" si="17"/>
        <v>0</v>
      </c>
      <c r="Z103">
        <f t="shared" si="18"/>
        <v>0</v>
      </c>
      <c r="AA103">
        <f t="shared" si="23"/>
        <v>1</v>
      </c>
      <c r="AB103">
        <f t="shared" si="24"/>
        <v>0</v>
      </c>
      <c r="AC103">
        <f t="shared" si="25"/>
        <v>1</v>
      </c>
      <c r="AD103">
        <f t="shared" si="19"/>
        <v>0</v>
      </c>
      <c r="AE103">
        <f t="shared" si="20"/>
        <v>0</v>
      </c>
      <c r="AF103">
        <f t="shared" si="13"/>
        <v>8000000</v>
      </c>
    </row>
    <row r="104" spans="1:32" x14ac:dyDescent="0.35">
      <c r="A104" s="1">
        <v>0</v>
      </c>
      <c r="B104" t="s">
        <v>516</v>
      </c>
      <c r="C104" t="s">
        <v>9</v>
      </c>
      <c r="D104" t="s">
        <v>39</v>
      </c>
      <c r="E104" t="s">
        <v>39</v>
      </c>
      <c r="F104" t="s">
        <v>34</v>
      </c>
      <c r="G104">
        <v>30</v>
      </c>
      <c r="H104" t="s">
        <v>517</v>
      </c>
      <c r="I104">
        <v>0.14712072908878326</v>
      </c>
      <c r="J104">
        <v>0.35956120491027832</v>
      </c>
      <c r="K104">
        <v>1</v>
      </c>
      <c r="L104">
        <v>3000000</v>
      </c>
      <c r="M104">
        <v>3000000</v>
      </c>
      <c r="O104" t="s">
        <v>34</v>
      </c>
      <c r="P104">
        <v>1</v>
      </c>
      <c r="Q104">
        <v>5000000</v>
      </c>
      <c r="R104">
        <v>5000000</v>
      </c>
      <c r="S104">
        <f t="shared" si="21"/>
        <v>0</v>
      </c>
      <c r="T104">
        <f t="shared" si="22"/>
        <v>0</v>
      </c>
      <c r="U104">
        <f t="shared" si="14"/>
        <v>1</v>
      </c>
      <c r="V104">
        <v>0</v>
      </c>
      <c r="W104">
        <f t="shared" si="15"/>
        <v>0</v>
      </c>
      <c r="X104">
        <f t="shared" si="16"/>
        <v>0</v>
      </c>
      <c r="Y104">
        <f t="shared" si="17"/>
        <v>0</v>
      </c>
      <c r="Z104">
        <f t="shared" si="18"/>
        <v>0</v>
      </c>
      <c r="AA104">
        <f t="shared" si="23"/>
        <v>0</v>
      </c>
      <c r="AB104">
        <f t="shared" si="24"/>
        <v>0</v>
      </c>
      <c r="AC104">
        <f t="shared" si="25"/>
        <v>0</v>
      </c>
      <c r="AD104">
        <f t="shared" si="19"/>
        <v>0</v>
      </c>
      <c r="AE104">
        <f t="shared" si="20"/>
        <v>0</v>
      </c>
      <c r="AF104">
        <f t="shared" si="13"/>
        <v>3000000</v>
      </c>
    </row>
    <row r="105" spans="1:32" x14ac:dyDescent="0.35">
      <c r="A105" s="1">
        <v>0</v>
      </c>
      <c r="B105" t="s">
        <v>266</v>
      </c>
      <c r="C105" t="s">
        <v>10</v>
      </c>
      <c r="D105" t="s">
        <v>39</v>
      </c>
      <c r="E105" t="s">
        <v>39</v>
      </c>
      <c r="F105" t="s">
        <v>40</v>
      </c>
      <c r="G105">
        <v>32</v>
      </c>
      <c r="H105" t="s">
        <v>267</v>
      </c>
      <c r="I105">
        <v>0.89216291904449463</v>
      </c>
      <c r="J105">
        <v>0.35128909349441528</v>
      </c>
      <c r="L105">
        <v>0</v>
      </c>
      <c r="O105" t="s">
        <v>134</v>
      </c>
      <c r="P105">
        <v>1</v>
      </c>
      <c r="Q105">
        <v>4000000</v>
      </c>
      <c r="R105">
        <v>4000000</v>
      </c>
      <c r="S105">
        <f t="shared" si="21"/>
        <v>0</v>
      </c>
      <c r="T105">
        <f t="shared" si="22"/>
        <v>1</v>
      </c>
      <c r="U105">
        <f t="shared" si="14"/>
        <v>0</v>
      </c>
      <c r="V105">
        <v>0</v>
      </c>
      <c r="W105">
        <f t="shared" si="15"/>
        <v>0</v>
      </c>
      <c r="X105">
        <f t="shared" si="16"/>
        <v>0</v>
      </c>
      <c r="Y105">
        <f t="shared" si="17"/>
        <v>0</v>
      </c>
      <c r="Z105">
        <f t="shared" si="18"/>
        <v>0</v>
      </c>
      <c r="AA105">
        <f t="shared" si="23"/>
        <v>0</v>
      </c>
      <c r="AB105">
        <f t="shared" si="24"/>
        <v>0</v>
      </c>
      <c r="AC105">
        <f t="shared" si="25"/>
        <v>0</v>
      </c>
      <c r="AD105">
        <f t="shared" si="19"/>
        <v>0</v>
      </c>
      <c r="AE105">
        <f t="shared" si="20"/>
        <v>0</v>
      </c>
      <c r="AF105">
        <f t="shared" si="13"/>
        <v>4000000</v>
      </c>
    </row>
    <row r="106" spans="1:32" x14ac:dyDescent="0.35">
      <c r="A106" s="1">
        <v>0</v>
      </c>
      <c r="B106" t="s">
        <v>173</v>
      </c>
      <c r="C106" t="s">
        <v>116</v>
      </c>
      <c r="D106" t="s">
        <v>39</v>
      </c>
      <c r="E106" t="s">
        <v>39</v>
      </c>
      <c r="F106" t="s">
        <v>58</v>
      </c>
      <c r="G106">
        <v>33</v>
      </c>
      <c r="H106" t="s">
        <v>174</v>
      </c>
      <c r="I106">
        <v>1.5948176383972168</v>
      </c>
      <c r="J106">
        <v>0.34064528346061707</v>
      </c>
      <c r="L106">
        <v>0</v>
      </c>
      <c r="O106" t="s">
        <v>58</v>
      </c>
      <c r="P106">
        <v>1</v>
      </c>
      <c r="Q106">
        <v>5000000</v>
      </c>
      <c r="R106">
        <v>5000000</v>
      </c>
      <c r="S106">
        <f t="shared" si="21"/>
        <v>0</v>
      </c>
      <c r="T106">
        <f t="shared" si="22"/>
        <v>0</v>
      </c>
      <c r="U106">
        <f t="shared" si="14"/>
        <v>0</v>
      </c>
      <c r="V106">
        <v>0</v>
      </c>
      <c r="W106">
        <f t="shared" si="15"/>
        <v>0</v>
      </c>
      <c r="X106">
        <f t="shared" si="16"/>
        <v>0</v>
      </c>
      <c r="Y106">
        <f t="shared" si="17"/>
        <v>0</v>
      </c>
      <c r="Z106">
        <f t="shared" si="18"/>
        <v>0</v>
      </c>
      <c r="AA106">
        <f t="shared" si="23"/>
        <v>1</v>
      </c>
      <c r="AB106">
        <f t="shared" si="24"/>
        <v>1</v>
      </c>
      <c r="AC106">
        <f t="shared" si="25"/>
        <v>1</v>
      </c>
      <c r="AD106">
        <f t="shared" si="19"/>
        <v>0</v>
      </c>
      <c r="AE106">
        <f t="shared" si="20"/>
        <v>0</v>
      </c>
      <c r="AF106">
        <f t="shared" si="13"/>
        <v>5000000</v>
      </c>
    </row>
    <row r="107" spans="1:32" x14ac:dyDescent="0.35">
      <c r="A107" s="1">
        <v>0</v>
      </c>
      <c r="B107" t="s">
        <v>502</v>
      </c>
      <c r="C107" t="s">
        <v>9</v>
      </c>
      <c r="D107" t="s">
        <v>39</v>
      </c>
      <c r="E107" t="s">
        <v>39</v>
      </c>
      <c r="F107" t="s">
        <v>56</v>
      </c>
      <c r="G107">
        <v>37</v>
      </c>
      <c r="H107" t="s">
        <v>503</v>
      </c>
      <c r="I107">
        <v>0.17800724506378174</v>
      </c>
      <c r="J107">
        <v>0.31330904364585876</v>
      </c>
      <c r="K107">
        <v>1</v>
      </c>
      <c r="L107">
        <v>6000000</v>
      </c>
      <c r="M107">
        <v>6000000</v>
      </c>
      <c r="O107" t="s">
        <v>48</v>
      </c>
      <c r="P107">
        <v>1</v>
      </c>
      <c r="Q107">
        <v>44444</v>
      </c>
      <c r="R107">
        <v>44444</v>
      </c>
      <c r="S107">
        <f t="shared" si="21"/>
        <v>0</v>
      </c>
      <c r="T107">
        <f t="shared" si="22"/>
        <v>0</v>
      </c>
      <c r="U107">
        <f t="shared" si="14"/>
        <v>1</v>
      </c>
      <c r="V107">
        <v>0</v>
      </c>
      <c r="W107">
        <f t="shared" si="15"/>
        <v>0</v>
      </c>
      <c r="X107">
        <f t="shared" si="16"/>
        <v>0</v>
      </c>
      <c r="Y107">
        <f t="shared" si="17"/>
        <v>0</v>
      </c>
      <c r="Z107">
        <f t="shared" si="18"/>
        <v>0</v>
      </c>
      <c r="AA107">
        <f t="shared" si="23"/>
        <v>0</v>
      </c>
      <c r="AB107">
        <f t="shared" si="24"/>
        <v>0</v>
      </c>
      <c r="AC107">
        <f t="shared" si="25"/>
        <v>0</v>
      </c>
      <c r="AD107">
        <f t="shared" si="19"/>
        <v>0</v>
      </c>
      <c r="AE107">
        <f t="shared" si="20"/>
        <v>0</v>
      </c>
      <c r="AF107">
        <f t="shared" si="13"/>
        <v>6000000</v>
      </c>
    </row>
    <row r="108" spans="1:32" x14ac:dyDescent="0.35">
      <c r="A108" s="1">
        <v>0</v>
      </c>
      <c r="B108" t="s">
        <v>502</v>
      </c>
      <c r="C108" t="s">
        <v>9</v>
      </c>
      <c r="D108" t="s">
        <v>39</v>
      </c>
      <c r="E108" t="s">
        <v>39</v>
      </c>
      <c r="F108" t="s">
        <v>56</v>
      </c>
      <c r="G108">
        <v>37</v>
      </c>
      <c r="H108" t="s">
        <v>503</v>
      </c>
      <c r="I108">
        <v>0.17800724506378174</v>
      </c>
      <c r="J108">
        <v>0.31330904364585876</v>
      </c>
      <c r="K108">
        <v>1</v>
      </c>
      <c r="L108">
        <v>6000000</v>
      </c>
      <c r="M108">
        <v>6000000</v>
      </c>
      <c r="O108" t="s">
        <v>51</v>
      </c>
      <c r="P108">
        <v>1</v>
      </c>
      <c r="S108">
        <f t="shared" si="21"/>
        <v>0</v>
      </c>
      <c r="T108">
        <f t="shared" si="22"/>
        <v>0</v>
      </c>
      <c r="U108">
        <f t="shared" si="14"/>
        <v>1</v>
      </c>
      <c r="V108">
        <v>0</v>
      </c>
      <c r="W108">
        <f t="shared" si="15"/>
        <v>0</v>
      </c>
      <c r="X108">
        <f t="shared" si="16"/>
        <v>0</v>
      </c>
      <c r="Y108">
        <f t="shared" si="17"/>
        <v>0</v>
      </c>
      <c r="Z108">
        <f t="shared" si="18"/>
        <v>0</v>
      </c>
      <c r="AA108">
        <f t="shared" si="23"/>
        <v>0</v>
      </c>
      <c r="AB108">
        <f t="shared" si="24"/>
        <v>0</v>
      </c>
      <c r="AC108">
        <f t="shared" si="25"/>
        <v>0</v>
      </c>
      <c r="AD108">
        <f t="shared" si="19"/>
        <v>0</v>
      </c>
      <c r="AE108">
        <f t="shared" si="20"/>
        <v>0</v>
      </c>
      <c r="AF108">
        <f t="shared" si="13"/>
        <v>6000000</v>
      </c>
    </row>
    <row r="109" spans="1:32" x14ac:dyDescent="0.35">
      <c r="A109" s="1">
        <v>0</v>
      </c>
      <c r="B109" t="s">
        <v>225</v>
      </c>
      <c r="C109" t="s">
        <v>9</v>
      </c>
      <c r="D109" t="s">
        <v>39</v>
      </c>
      <c r="E109" t="s">
        <v>39</v>
      </c>
      <c r="F109" t="s">
        <v>134</v>
      </c>
      <c r="G109">
        <v>32</v>
      </c>
      <c r="H109" t="s">
        <v>226</v>
      </c>
      <c r="I109">
        <v>1.1321791410446167</v>
      </c>
      <c r="J109">
        <v>0.31182423233985901</v>
      </c>
      <c r="K109">
        <v>2</v>
      </c>
      <c r="L109">
        <v>18000000</v>
      </c>
      <c r="M109">
        <v>9000000</v>
      </c>
      <c r="O109" t="s">
        <v>81</v>
      </c>
      <c r="P109">
        <v>2</v>
      </c>
      <c r="Q109">
        <v>22200000</v>
      </c>
      <c r="R109">
        <v>11100000</v>
      </c>
      <c r="S109">
        <f t="shared" si="21"/>
        <v>0</v>
      </c>
      <c r="T109">
        <f t="shared" si="22"/>
        <v>0</v>
      </c>
      <c r="U109">
        <f t="shared" si="14"/>
        <v>1</v>
      </c>
      <c r="V109">
        <v>0</v>
      </c>
      <c r="W109">
        <f t="shared" si="15"/>
        <v>0</v>
      </c>
      <c r="X109">
        <f t="shared" si="16"/>
        <v>0</v>
      </c>
      <c r="Y109">
        <f t="shared" si="17"/>
        <v>0</v>
      </c>
      <c r="Z109">
        <f t="shared" si="18"/>
        <v>0</v>
      </c>
      <c r="AA109">
        <f t="shared" si="23"/>
        <v>0</v>
      </c>
      <c r="AB109">
        <f t="shared" si="24"/>
        <v>0</v>
      </c>
      <c r="AC109">
        <f t="shared" si="25"/>
        <v>0</v>
      </c>
      <c r="AD109">
        <f t="shared" si="19"/>
        <v>0</v>
      </c>
      <c r="AE109">
        <f t="shared" si="20"/>
        <v>0</v>
      </c>
      <c r="AF109">
        <f t="shared" si="13"/>
        <v>9000000</v>
      </c>
    </row>
    <row r="110" spans="1:32" x14ac:dyDescent="0.35">
      <c r="A110" s="1">
        <v>0</v>
      </c>
      <c r="B110" t="s">
        <v>306</v>
      </c>
      <c r="C110" t="s">
        <v>9</v>
      </c>
      <c r="D110" t="s">
        <v>39</v>
      </c>
      <c r="E110" t="s">
        <v>39</v>
      </c>
      <c r="F110" t="s">
        <v>104</v>
      </c>
      <c r="G110">
        <v>34</v>
      </c>
      <c r="H110" t="s">
        <v>307</v>
      </c>
      <c r="I110">
        <v>0.68513780832290649</v>
      </c>
      <c r="J110">
        <v>0.3056509792804718</v>
      </c>
      <c r="L110">
        <v>0</v>
      </c>
      <c r="O110" t="s">
        <v>97</v>
      </c>
      <c r="P110">
        <v>1</v>
      </c>
      <c r="Q110">
        <v>1250000</v>
      </c>
      <c r="R110">
        <v>1250000</v>
      </c>
      <c r="S110">
        <f t="shared" si="21"/>
        <v>0</v>
      </c>
      <c r="T110">
        <f t="shared" si="22"/>
        <v>0</v>
      </c>
      <c r="U110">
        <f t="shared" si="14"/>
        <v>1</v>
      </c>
      <c r="V110">
        <v>0</v>
      </c>
      <c r="W110">
        <f t="shared" si="15"/>
        <v>0</v>
      </c>
      <c r="X110">
        <f t="shared" si="16"/>
        <v>0</v>
      </c>
      <c r="Y110">
        <f t="shared" si="17"/>
        <v>0</v>
      </c>
      <c r="Z110">
        <f t="shared" si="18"/>
        <v>0</v>
      </c>
      <c r="AA110">
        <f t="shared" si="23"/>
        <v>0</v>
      </c>
      <c r="AB110">
        <f t="shared" si="24"/>
        <v>0</v>
      </c>
      <c r="AC110">
        <f t="shared" si="25"/>
        <v>0</v>
      </c>
      <c r="AD110">
        <f t="shared" si="19"/>
        <v>0</v>
      </c>
      <c r="AE110">
        <f t="shared" si="20"/>
        <v>0</v>
      </c>
      <c r="AF110">
        <f t="shared" si="13"/>
        <v>1250000</v>
      </c>
    </row>
    <row r="111" spans="1:32" x14ac:dyDescent="0.35">
      <c r="A111" s="1">
        <v>0</v>
      </c>
      <c r="B111" t="s">
        <v>782</v>
      </c>
      <c r="C111" t="s">
        <v>783</v>
      </c>
      <c r="D111" t="s">
        <v>39</v>
      </c>
      <c r="E111" t="s">
        <v>39</v>
      </c>
      <c r="F111" t="s">
        <v>56</v>
      </c>
      <c r="G111">
        <v>28</v>
      </c>
      <c r="H111" t="s">
        <v>61</v>
      </c>
      <c r="I111">
        <v>-0.92764467000961304</v>
      </c>
      <c r="J111">
        <v>0.30552631616592413</v>
      </c>
      <c r="K111">
        <v>1</v>
      </c>
      <c r="L111">
        <v>6000000</v>
      </c>
      <c r="M111">
        <v>6000000</v>
      </c>
      <c r="O111" t="s">
        <v>110</v>
      </c>
      <c r="P111">
        <v>1</v>
      </c>
      <c r="Q111">
        <v>0</v>
      </c>
      <c r="S111">
        <f t="shared" si="21"/>
        <v>0</v>
      </c>
      <c r="T111">
        <f t="shared" si="22"/>
        <v>0</v>
      </c>
      <c r="U111">
        <f t="shared" si="14"/>
        <v>0</v>
      </c>
      <c r="V111">
        <v>0</v>
      </c>
      <c r="W111">
        <f t="shared" si="15"/>
        <v>0</v>
      </c>
      <c r="X111">
        <f t="shared" si="16"/>
        <v>0</v>
      </c>
      <c r="Y111">
        <f t="shared" si="17"/>
        <v>0</v>
      </c>
      <c r="Z111">
        <f t="shared" si="18"/>
        <v>0</v>
      </c>
      <c r="AA111">
        <f t="shared" si="23"/>
        <v>1</v>
      </c>
      <c r="AB111">
        <f t="shared" si="24"/>
        <v>0</v>
      </c>
      <c r="AC111">
        <f t="shared" si="25"/>
        <v>1</v>
      </c>
      <c r="AD111">
        <f t="shared" si="19"/>
        <v>0</v>
      </c>
      <c r="AE111">
        <f t="shared" si="20"/>
        <v>1</v>
      </c>
      <c r="AF111">
        <f t="shared" si="13"/>
        <v>6000000</v>
      </c>
    </row>
    <row r="112" spans="1:32" x14ac:dyDescent="0.35">
      <c r="A112" s="1">
        <v>0</v>
      </c>
      <c r="B112" t="s">
        <v>585</v>
      </c>
      <c r="C112" t="s">
        <v>9</v>
      </c>
      <c r="D112" t="s">
        <v>39</v>
      </c>
      <c r="E112" t="s">
        <v>39</v>
      </c>
      <c r="F112" t="s">
        <v>66</v>
      </c>
      <c r="G112">
        <v>37</v>
      </c>
      <c r="H112" t="s">
        <v>586</v>
      </c>
      <c r="I112">
        <v>-1.9738445058465004E-2</v>
      </c>
      <c r="J112">
        <v>0.30102184414863586</v>
      </c>
      <c r="K112">
        <v>1</v>
      </c>
      <c r="L112">
        <v>5000000</v>
      </c>
      <c r="M112">
        <v>5000000</v>
      </c>
      <c r="S112">
        <f t="shared" si="21"/>
        <v>0</v>
      </c>
      <c r="T112">
        <f t="shared" si="22"/>
        <v>0</v>
      </c>
      <c r="U112">
        <f t="shared" si="14"/>
        <v>1</v>
      </c>
      <c r="V112">
        <v>0</v>
      </c>
      <c r="W112">
        <f t="shared" si="15"/>
        <v>0</v>
      </c>
      <c r="X112">
        <f t="shared" si="16"/>
        <v>0</v>
      </c>
      <c r="Y112">
        <f t="shared" si="17"/>
        <v>0</v>
      </c>
      <c r="Z112">
        <f t="shared" si="18"/>
        <v>0</v>
      </c>
      <c r="AA112">
        <f t="shared" si="23"/>
        <v>0</v>
      </c>
      <c r="AB112">
        <f t="shared" si="24"/>
        <v>0</v>
      </c>
      <c r="AC112">
        <f t="shared" si="25"/>
        <v>0</v>
      </c>
      <c r="AD112">
        <f t="shared" si="19"/>
        <v>0</v>
      </c>
      <c r="AE112">
        <f t="shared" si="20"/>
        <v>0</v>
      </c>
      <c r="AF112">
        <f t="shared" si="13"/>
        <v>5000000</v>
      </c>
    </row>
    <row r="113" spans="1:32" x14ac:dyDescent="0.35">
      <c r="A113" s="1">
        <v>0</v>
      </c>
      <c r="B113" t="s">
        <v>353</v>
      </c>
      <c r="C113" t="s">
        <v>9</v>
      </c>
      <c r="D113" t="s">
        <v>33</v>
      </c>
      <c r="E113" t="s">
        <v>33</v>
      </c>
      <c r="F113" t="s">
        <v>56</v>
      </c>
      <c r="G113">
        <v>35</v>
      </c>
      <c r="H113" t="s">
        <v>354</v>
      </c>
      <c r="I113">
        <v>0.53618401288986206</v>
      </c>
      <c r="J113">
        <v>0.29656922817230225</v>
      </c>
      <c r="L113">
        <v>0</v>
      </c>
      <c r="O113" t="s">
        <v>100</v>
      </c>
      <c r="P113">
        <v>1</v>
      </c>
      <c r="Q113">
        <v>3000000</v>
      </c>
      <c r="R113">
        <v>3000000</v>
      </c>
      <c r="S113">
        <f t="shared" si="21"/>
        <v>0</v>
      </c>
      <c r="T113">
        <f t="shared" si="22"/>
        <v>0</v>
      </c>
      <c r="U113">
        <f t="shared" si="14"/>
        <v>1</v>
      </c>
      <c r="V113">
        <v>0</v>
      </c>
      <c r="W113">
        <f t="shared" si="15"/>
        <v>0</v>
      </c>
      <c r="X113">
        <f t="shared" si="16"/>
        <v>0</v>
      </c>
      <c r="Y113">
        <f t="shared" si="17"/>
        <v>0</v>
      </c>
      <c r="Z113">
        <f t="shared" si="18"/>
        <v>0</v>
      </c>
      <c r="AA113">
        <f t="shared" si="23"/>
        <v>0</v>
      </c>
      <c r="AB113">
        <f t="shared" si="24"/>
        <v>0</v>
      </c>
      <c r="AC113">
        <f t="shared" si="25"/>
        <v>0</v>
      </c>
      <c r="AD113">
        <f t="shared" si="19"/>
        <v>0</v>
      </c>
      <c r="AE113">
        <f t="shared" si="20"/>
        <v>0</v>
      </c>
      <c r="AF113">
        <f t="shared" si="13"/>
        <v>3000000</v>
      </c>
    </row>
    <row r="114" spans="1:32" x14ac:dyDescent="0.35">
      <c r="A114" s="1">
        <v>0</v>
      </c>
      <c r="B114" t="s">
        <v>707</v>
      </c>
      <c r="C114" t="s">
        <v>9</v>
      </c>
      <c r="D114" t="s">
        <v>39</v>
      </c>
      <c r="E114" t="s">
        <v>39</v>
      </c>
      <c r="F114" t="s">
        <v>86</v>
      </c>
      <c r="G114">
        <v>32</v>
      </c>
      <c r="H114" t="s">
        <v>708</v>
      </c>
      <c r="I114">
        <v>-0.29238122701644897</v>
      </c>
      <c r="J114">
        <v>0.2919904887676239</v>
      </c>
      <c r="L114">
        <v>0</v>
      </c>
      <c r="O114" t="s">
        <v>134</v>
      </c>
      <c r="P114">
        <v>1</v>
      </c>
      <c r="Q114">
        <v>8500000</v>
      </c>
      <c r="R114">
        <v>8500000</v>
      </c>
      <c r="S114">
        <f t="shared" si="21"/>
        <v>0</v>
      </c>
      <c r="T114">
        <f t="shared" si="22"/>
        <v>0</v>
      </c>
      <c r="U114">
        <f t="shared" si="14"/>
        <v>1</v>
      </c>
      <c r="V114">
        <v>0</v>
      </c>
      <c r="W114">
        <f t="shared" si="15"/>
        <v>0</v>
      </c>
      <c r="X114">
        <f t="shared" si="16"/>
        <v>0</v>
      </c>
      <c r="Y114">
        <f t="shared" si="17"/>
        <v>0</v>
      </c>
      <c r="Z114">
        <f t="shared" si="18"/>
        <v>0</v>
      </c>
      <c r="AA114">
        <f t="shared" si="23"/>
        <v>0</v>
      </c>
      <c r="AB114">
        <f t="shared" si="24"/>
        <v>0</v>
      </c>
      <c r="AC114">
        <f t="shared" si="25"/>
        <v>0</v>
      </c>
      <c r="AD114">
        <f t="shared" si="19"/>
        <v>0</v>
      </c>
      <c r="AE114">
        <f t="shared" si="20"/>
        <v>0</v>
      </c>
      <c r="AF114">
        <f t="shared" si="13"/>
        <v>8500000</v>
      </c>
    </row>
    <row r="115" spans="1:32" x14ac:dyDescent="0.35">
      <c r="A115" s="1">
        <v>0</v>
      </c>
      <c r="B115" t="s">
        <v>588</v>
      </c>
      <c r="C115" t="s">
        <v>9</v>
      </c>
      <c r="D115" t="s">
        <v>39</v>
      </c>
      <c r="E115" t="s">
        <v>39</v>
      </c>
      <c r="F115" t="s">
        <v>141</v>
      </c>
      <c r="G115">
        <v>33</v>
      </c>
      <c r="H115" t="s">
        <v>589</v>
      </c>
      <c r="I115">
        <v>-2.1173315122723579E-2</v>
      </c>
      <c r="J115">
        <v>0.28041326999664307</v>
      </c>
      <c r="L115">
        <v>0</v>
      </c>
      <c r="O115" t="s">
        <v>141</v>
      </c>
      <c r="P115">
        <v>1</v>
      </c>
      <c r="Q115">
        <v>6000000</v>
      </c>
      <c r="R115">
        <v>5589304</v>
      </c>
      <c r="S115">
        <f t="shared" si="21"/>
        <v>0</v>
      </c>
      <c r="T115">
        <f t="shared" si="22"/>
        <v>0</v>
      </c>
      <c r="U115">
        <f t="shared" si="14"/>
        <v>1</v>
      </c>
      <c r="V115">
        <v>0</v>
      </c>
      <c r="W115">
        <f t="shared" si="15"/>
        <v>0</v>
      </c>
      <c r="X115">
        <f t="shared" si="16"/>
        <v>0</v>
      </c>
      <c r="Y115">
        <f t="shared" si="17"/>
        <v>0</v>
      </c>
      <c r="Z115">
        <f t="shared" si="18"/>
        <v>0</v>
      </c>
      <c r="AA115">
        <f t="shared" si="23"/>
        <v>0</v>
      </c>
      <c r="AB115">
        <f t="shared" si="24"/>
        <v>0</v>
      </c>
      <c r="AC115">
        <f t="shared" si="25"/>
        <v>0</v>
      </c>
      <c r="AD115">
        <f t="shared" si="19"/>
        <v>0</v>
      </c>
      <c r="AE115">
        <f t="shared" si="20"/>
        <v>0</v>
      </c>
      <c r="AF115">
        <f t="shared" si="13"/>
        <v>5589304</v>
      </c>
    </row>
    <row r="116" spans="1:32" x14ac:dyDescent="0.35">
      <c r="A116" s="1">
        <v>0</v>
      </c>
      <c r="B116" t="s">
        <v>530</v>
      </c>
      <c r="C116" t="s">
        <v>9</v>
      </c>
      <c r="D116" t="s">
        <v>33</v>
      </c>
      <c r="E116" t="s">
        <v>39</v>
      </c>
      <c r="F116" t="s">
        <v>48</v>
      </c>
      <c r="G116">
        <v>35</v>
      </c>
      <c r="H116" t="s">
        <v>531</v>
      </c>
      <c r="I116">
        <v>0.12382979691028595</v>
      </c>
      <c r="J116">
        <v>0.27049711346626282</v>
      </c>
      <c r="L116">
        <v>0</v>
      </c>
      <c r="O116" t="s">
        <v>78</v>
      </c>
      <c r="P116">
        <v>1</v>
      </c>
      <c r="Q116">
        <v>2750000</v>
      </c>
      <c r="R116">
        <v>2750000</v>
      </c>
      <c r="S116">
        <f t="shared" si="21"/>
        <v>0</v>
      </c>
      <c r="T116">
        <f t="shared" si="22"/>
        <v>0</v>
      </c>
      <c r="U116">
        <f t="shared" si="14"/>
        <v>1</v>
      </c>
      <c r="V116">
        <v>0</v>
      </c>
      <c r="W116">
        <f t="shared" si="15"/>
        <v>0</v>
      </c>
      <c r="X116">
        <f t="shared" si="16"/>
        <v>0</v>
      </c>
      <c r="Y116">
        <f t="shared" si="17"/>
        <v>0</v>
      </c>
      <c r="Z116">
        <f t="shared" si="18"/>
        <v>0</v>
      </c>
      <c r="AA116">
        <f t="shared" si="23"/>
        <v>0</v>
      </c>
      <c r="AB116">
        <f t="shared" si="24"/>
        <v>0</v>
      </c>
      <c r="AC116">
        <f t="shared" si="25"/>
        <v>0</v>
      </c>
      <c r="AD116">
        <f t="shared" si="19"/>
        <v>0</v>
      </c>
      <c r="AE116">
        <f t="shared" si="20"/>
        <v>0</v>
      </c>
      <c r="AF116">
        <f t="shared" si="13"/>
        <v>2750000</v>
      </c>
    </row>
    <row r="117" spans="1:32" x14ac:dyDescent="0.35">
      <c r="A117" s="1">
        <v>0</v>
      </c>
      <c r="B117" t="s">
        <v>330</v>
      </c>
      <c r="C117" t="s">
        <v>9</v>
      </c>
      <c r="D117" t="s">
        <v>33</v>
      </c>
      <c r="E117" t="s">
        <v>33</v>
      </c>
      <c r="F117" t="s">
        <v>125</v>
      </c>
      <c r="G117">
        <v>31</v>
      </c>
      <c r="H117" t="s">
        <v>331</v>
      </c>
      <c r="I117">
        <v>0.62919342517852783</v>
      </c>
      <c r="J117">
        <v>0.2697654664516449</v>
      </c>
      <c r="L117">
        <v>0</v>
      </c>
      <c r="O117" t="s">
        <v>58</v>
      </c>
      <c r="P117">
        <v>1</v>
      </c>
      <c r="Q117">
        <v>1250000</v>
      </c>
      <c r="R117">
        <v>1250000</v>
      </c>
      <c r="S117">
        <f t="shared" si="21"/>
        <v>0</v>
      </c>
      <c r="T117">
        <f t="shared" si="22"/>
        <v>0</v>
      </c>
      <c r="U117">
        <f t="shared" si="14"/>
        <v>1</v>
      </c>
      <c r="V117">
        <v>0</v>
      </c>
      <c r="W117">
        <f t="shared" si="15"/>
        <v>0</v>
      </c>
      <c r="X117">
        <f t="shared" si="16"/>
        <v>0</v>
      </c>
      <c r="Y117">
        <f t="shared" si="17"/>
        <v>0</v>
      </c>
      <c r="Z117">
        <f t="shared" si="18"/>
        <v>0</v>
      </c>
      <c r="AA117">
        <f t="shared" si="23"/>
        <v>0</v>
      </c>
      <c r="AB117">
        <f t="shared" si="24"/>
        <v>0</v>
      </c>
      <c r="AC117">
        <f t="shared" si="25"/>
        <v>0</v>
      </c>
      <c r="AD117">
        <f t="shared" si="19"/>
        <v>0</v>
      </c>
      <c r="AE117">
        <f t="shared" si="20"/>
        <v>0</v>
      </c>
      <c r="AF117">
        <f t="shared" si="13"/>
        <v>1250000</v>
      </c>
    </row>
    <row r="118" spans="1:32" x14ac:dyDescent="0.35">
      <c r="A118" s="1">
        <v>0</v>
      </c>
      <c r="B118" t="s">
        <v>363</v>
      </c>
      <c r="C118" t="s">
        <v>364</v>
      </c>
      <c r="D118" t="s">
        <v>39</v>
      </c>
      <c r="E118" t="s">
        <v>39</v>
      </c>
      <c r="F118" t="s">
        <v>125</v>
      </c>
      <c r="G118">
        <v>32</v>
      </c>
      <c r="H118" t="s">
        <v>365</v>
      </c>
      <c r="I118">
        <v>0.51880383491516113</v>
      </c>
      <c r="J118">
        <v>0.26601451635360718</v>
      </c>
      <c r="L118">
        <v>0</v>
      </c>
      <c r="O118" t="s">
        <v>46</v>
      </c>
      <c r="P118">
        <v>1</v>
      </c>
      <c r="Q118">
        <v>1000000</v>
      </c>
      <c r="R118">
        <v>1000000</v>
      </c>
      <c r="S118">
        <f t="shared" si="21"/>
        <v>0</v>
      </c>
      <c r="T118">
        <f t="shared" si="22"/>
        <v>0</v>
      </c>
      <c r="U118">
        <f t="shared" si="14"/>
        <v>0</v>
      </c>
      <c r="V118">
        <v>0</v>
      </c>
      <c r="W118">
        <f t="shared" si="15"/>
        <v>1</v>
      </c>
      <c r="X118">
        <f t="shared" si="16"/>
        <v>0</v>
      </c>
      <c r="Y118">
        <f t="shared" si="17"/>
        <v>0</v>
      </c>
      <c r="Z118">
        <f t="shared" si="18"/>
        <v>0</v>
      </c>
      <c r="AA118">
        <f t="shared" si="23"/>
        <v>1</v>
      </c>
      <c r="AB118">
        <f t="shared" si="24"/>
        <v>0</v>
      </c>
      <c r="AC118">
        <f t="shared" si="25"/>
        <v>1</v>
      </c>
      <c r="AD118">
        <f t="shared" si="19"/>
        <v>0</v>
      </c>
      <c r="AE118">
        <f t="shared" si="20"/>
        <v>0</v>
      </c>
      <c r="AF118">
        <f t="shared" si="13"/>
        <v>1000000</v>
      </c>
    </row>
    <row r="119" spans="1:32" x14ac:dyDescent="0.35">
      <c r="A119" s="1">
        <v>0</v>
      </c>
      <c r="B119" t="s">
        <v>257</v>
      </c>
      <c r="C119" t="s">
        <v>9</v>
      </c>
      <c r="D119" t="s">
        <v>33</v>
      </c>
      <c r="E119" t="s">
        <v>33</v>
      </c>
      <c r="F119" t="s">
        <v>40</v>
      </c>
      <c r="G119">
        <v>34</v>
      </c>
      <c r="H119" t="s">
        <v>258</v>
      </c>
      <c r="I119">
        <v>0.89884853363037109</v>
      </c>
      <c r="J119">
        <v>0.25459596514701843</v>
      </c>
      <c r="L119">
        <v>0</v>
      </c>
      <c r="O119" t="s">
        <v>97</v>
      </c>
      <c r="P119">
        <v>1</v>
      </c>
      <c r="Q119">
        <v>2500000</v>
      </c>
      <c r="R119">
        <v>2500000</v>
      </c>
      <c r="S119">
        <f t="shared" si="21"/>
        <v>0</v>
      </c>
      <c r="T119">
        <f t="shared" si="22"/>
        <v>0</v>
      </c>
      <c r="U119">
        <f t="shared" si="14"/>
        <v>1</v>
      </c>
      <c r="V119">
        <v>0</v>
      </c>
      <c r="W119">
        <f t="shared" si="15"/>
        <v>0</v>
      </c>
      <c r="X119">
        <f t="shared" si="16"/>
        <v>0</v>
      </c>
      <c r="Y119">
        <f t="shared" si="17"/>
        <v>0</v>
      </c>
      <c r="Z119">
        <f t="shared" si="18"/>
        <v>0</v>
      </c>
      <c r="AA119">
        <f t="shared" si="23"/>
        <v>0</v>
      </c>
      <c r="AB119">
        <f t="shared" si="24"/>
        <v>0</v>
      </c>
      <c r="AC119">
        <f t="shared" si="25"/>
        <v>0</v>
      </c>
      <c r="AD119">
        <f t="shared" si="19"/>
        <v>0</v>
      </c>
      <c r="AE119">
        <f t="shared" si="20"/>
        <v>0</v>
      </c>
      <c r="AF119">
        <f t="shared" si="13"/>
        <v>2500000</v>
      </c>
    </row>
    <row r="120" spans="1:32" x14ac:dyDescent="0.35">
      <c r="A120" s="1">
        <v>0</v>
      </c>
      <c r="B120" t="s">
        <v>797</v>
      </c>
      <c r="C120" t="s">
        <v>273</v>
      </c>
      <c r="D120" t="s">
        <v>45</v>
      </c>
      <c r="E120" t="s">
        <v>33</v>
      </c>
      <c r="F120" t="s">
        <v>110</v>
      </c>
      <c r="G120">
        <v>26</v>
      </c>
      <c r="H120" t="s">
        <v>798</v>
      </c>
      <c r="I120">
        <v>-1.0943242311477661</v>
      </c>
      <c r="J120">
        <v>0.24424418807029724</v>
      </c>
      <c r="L120">
        <v>0</v>
      </c>
      <c r="O120" t="s">
        <v>56</v>
      </c>
      <c r="P120">
        <v>1</v>
      </c>
      <c r="Q120">
        <v>975000</v>
      </c>
      <c r="R120">
        <v>975000</v>
      </c>
      <c r="S120">
        <f t="shared" si="21"/>
        <v>0</v>
      </c>
      <c r="T120">
        <f t="shared" si="22"/>
        <v>0</v>
      </c>
      <c r="U120">
        <f t="shared" si="14"/>
        <v>0</v>
      </c>
      <c r="V120">
        <v>0</v>
      </c>
      <c r="W120">
        <f t="shared" si="15"/>
        <v>0</v>
      </c>
      <c r="X120">
        <f t="shared" si="16"/>
        <v>0</v>
      </c>
      <c r="Y120">
        <f t="shared" si="17"/>
        <v>0</v>
      </c>
      <c r="Z120">
        <f t="shared" si="18"/>
        <v>0</v>
      </c>
      <c r="AA120">
        <f t="shared" si="23"/>
        <v>1</v>
      </c>
      <c r="AB120">
        <f t="shared" si="24"/>
        <v>1</v>
      </c>
      <c r="AC120">
        <f t="shared" si="25"/>
        <v>1</v>
      </c>
      <c r="AD120">
        <f t="shared" si="19"/>
        <v>0</v>
      </c>
      <c r="AE120">
        <f t="shared" si="20"/>
        <v>0</v>
      </c>
      <c r="AF120">
        <f t="shared" si="13"/>
        <v>975000</v>
      </c>
    </row>
    <row r="121" spans="1:32" x14ac:dyDescent="0.35">
      <c r="A121" s="1">
        <v>0</v>
      </c>
      <c r="B121" t="s">
        <v>459</v>
      </c>
      <c r="C121" t="s">
        <v>334</v>
      </c>
      <c r="D121" t="s">
        <v>39</v>
      </c>
      <c r="E121" t="s">
        <v>39</v>
      </c>
      <c r="F121" t="s">
        <v>34</v>
      </c>
      <c r="G121">
        <v>35</v>
      </c>
      <c r="H121" t="s">
        <v>460</v>
      </c>
      <c r="I121">
        <v>0.26698204874992371</v>
      </c>
      <c r="J121">
        <v>0.24376147985458374</v>
      </c>
      <c r="L121">
        <v>0</v>
      </c>
      <c r="O121" t="s">
        <v>104</v>
      </c>
      <c r="P121">
        <v>1</v>
      </c>
      <c r="Q121">
        <v>2000000</v>
      </c>
      <c r="R121">
        <v>2000000</v>
      </c>
      <c r="S121">
        <f t="shared" si="21"/>
        <v>0</v>
      </c>
      <c r="T121">
        <f t="shared" si="22"/>
        <v>0</v>
      </c>
      <c r="U121">
        <f t="shared" si="14"/>
        <v>0</v>
      </c>
      <c r="V121">
        <v>0</v>
      </c>
      <c r="W121">
        <f t="shared" si="15"/>
        <v>0</v>
      </c>
      <c r="X121">
        <f t="shared" si="16"/>
        <v>1</v>
      </c>
      <c r="Y121">
        <f t="shared" si="17"/>
        <v>1</v>
      </c>
      <c r="Z121">
        <f t="shared" si="18"/>
        <v>1</v>
      </c>
      <c r="AA121">
        <f t="shared" si="23"/>
        <v>1</v>
      </c>
      <c r="AB121">
        <f t="shared" si="24"/>
        <v>1</v>
      </c>
      <c r="AC121">
        <f t="shared" si="25"/>
        <v>1</v>
      </c>
      <c r="AD121">
        <f t="shared" si="19"/>
        <v>1</v>
      </c>
      <c r="AE121">
        <f t="shared" si="20"/>
        <v>0</v>
      </c>
      <c r="AF121">
        <f t="shared" si="13"/>
        <v>2000000</v>
      </c>
    </row>
    <row r="122" spans="1:32" x14ac:dyDescent="0.35">
      <c r="A122" s="1">
        <v>0</v>
      </c>
      <c r="B122" t="s">
        <v>434</v>
      </c>
      <c r="C122" t="s">
        <v>9</v>
      </c>
      <c r="D122" t="s">
        <v>39</v>
      </c>
      <c r="E122" t="s">
        <v>39</v>
      </c>
      <c r="F122" t="s">
        <v>58</v>
      </c>
      <c r="G122">
        <v>35</v>
      </c>
      <c r="H122" t="s">
        <v>435</v>
      </c>
      <c r="I122">
        <v>0.3462543785572052</v>
      </c>
      <c r="J122">
        <v>0.236552894115448</v>
      </c>
      <c r="K122">
        <v>1</v>
      </c>
      <c r="L122">
        <v>6500000</v>
      </c>
      <c r="M122">
        <v>6500000</v>
      </c>
      <c r="O122" t="s">
        <v>102</v>
      </c>
      <c r="P122">
        <v>1</v>
      </c>
      <c r="Q122">
        <v>7000000</v>
      </c>
      <c r="R122">
        <v>7000000</v>
      </c>
      <c r="S122">
        <f t="shared" si="21"/>
        <v>0</v>
      </c>
      <c r="T122">
        <f t="shared" si="22"/>
        <v>0</v>
      </c>
      <c r="U122">
        <f t="shared" si="14"/>
        <v>1</v>
      </c>
      <c r="V122">
        <v>0</v>
      </c>
      <c r="W122">
        <f t="shared" si="15"/>
        <v>0</v>
      </c>
      <c r="X122">
        <f t="shared" si="16"/>
        <v>0</v>
      </c>
      <c r="Y122">
        <f t="shared" si="17"/>
        <v>0</v>
      </c>
      <c r="Z122">
        <f t="shared" si="18"/>
        <v>0</v>
      </c>
      <c r="AA122">
        <f t="shared" si="23"/>
        <v>0</v>
      </c>
      <c r="AB122">
        <f t="shared" si="24"/>
        <v>0</v>
      </c>
      <c r="AC122">
        <f t="shared" si="25"/>
        <v>0</v>
      </c>
      <c r="AD122">
        <f t="shared" si="19"/>
        <v>0</v>
      </c>
      <c r="AE122">
        <f t="shared" si="20"/>
        <v>0</v>
      </c>
      <c r="AF122">
        <f t="shared" si="13"/>
        <v>6500000</v>
      </c>
    </row>
    <row r="123" spans="1:32" x14ac:dyDescent="0.35">
      <c r="A123" s="1">
        <v>0</v>
      </c>
      <c r="B123" t="s">
        <v>627</v>
      </c>
      <c r="C123" t="s">
        <v>9</v>
      </c>
      <c r="D123" t="s">
        <v>39</v>
      </c>
      <c r="E123" t="s">
        <v>39</v>
      </c>
      <c r="F123" t="s">
        <v>48</v>
      </c>
      <c r="G123">
        <v>33</v>
      </c>
      <c r="H123" t="s">
        <v>628</v>
      </c>
      <c r="I123">
        <v>-0.11007146537303925</v>
      </c>
      <c r="J123">
        <v>0.23130252957344055</v>
      </c>
      <c r="L123">
        <v>0</v>
      </c>
      <c r="O123" t="s">
        <v>97</v>
      </c>
      <c r="P123">
        <v>1</v>
      </c>
      <c r="Q123">
        <v>1500000</v>
      </c>
      <c r="R123">
        <v>1500000</v>
      </c>
      <c r="S123">
        <f t="shared" si="21"/>
        <v>0</v>
      </c>
      <c r="T123">
        <f t="shared" si="22"/>
        <v>0</v>
      </c>
      <c r="U123">
        <f t="shared" si="14"/>
        <v>1</v>
      </c>
      <c r="V123">
        <v>0</v>
      </c>
      <c r="W123">
        <f t="shared" si="15"/>
        <v>0</v>
      </c>
      <c r="X123">
        <f t="shared" si="16"/>
        <v>0</v>
      </c>
      <c r="Y123">
        <f t="shared" si="17"/>
        <v>0</v>
      </c>
      <c r="Z123">
        <f t="shared" si="18"/>
        <v>0</v>
      </c>
      <c r="AA123">
        <f t="shared" si="23"/>
        <v>0</v>
      </c>
      <c r="AB123">
        <f t="shared" si="24"/>
        <v>0</v>
      </c>
      <c r="AC123">
        <f t="shared" si="25"/>
        <v>0</v>
      </c>
      <c r="AD123">
        <f t="shared" si="19"/>
        <v>0</v>
      </c>
      <c r="AE123">
        <f t="shared" si="20"/>
        <v>0</v>
      </c>
      <c r="AF123">
        <f t="shared" si="13"/>
        <v>1500000</v>
      </c>
    </row>
    <row r="124" spans="1:32" x14ac:dyDescent="0.35">
      <c r="A124" s="1">
        <v>0</v>
      </c>
      <c r="B124" t="s">
        <v>627</v>
      </c>
      <c r="C124" t="s">
        <v>9</v>
      </c>
      <c r="D124" t="s">
        <v>39</v>
      </c>
      <c r="E124" t="s">
        <v>39</v>
      </c>
      <c r="F124" t="s">
        <v>48</v>
      </c>
      <c r="G124">
        <v>33</v>
      </c>
      <c r="H124" t="s">
        <v>628</v>
      </c>
      <c r="I124">
        <v>-0.11007146537303925</v>
      </c>
      <c r="J124">
        <v>0.23130252957344055</v>
      </c>
      <c r="L124">
        <v>0</v>
      </c>
      <c r="O124" t="s">
        <v>78</v>
      </c>
      <c r="P124">
        <v>1</v>
      </c>
      <c r="Q124">
        <v>265591</v>
      </c>
      <c r="R124">
        <v>265591</v>
      </c>
      <c r="S124">
        <f t="shared" si="21"/>
        <v>0</v>
      </c>
      <c r="T124">
        <f t="shared" si="22"/>
        <v>0</v>
      </c>
      <c r="U124">
        <f t="shared" si="14"/>
        <v>1</v>
      </c>
      <c r="V124">
        <v>0</v>
      </c>
      <c r="W124">
        <f t="shared" si="15"/>
        <v>0</v>
      </c>
      <c r="X124">
        <f t="shared" si="16"/>
        <v>0</v>
      </c>
      <c r="Y124">
        <f t="shared" si="17"/>
        <v>0</v>
      </c>
      <c r="Z124">
        <f t="shared" si="18"/>
        <v>0</v>
      </c>
      <c r="AA124">
        <f t="shared" si="23"/>
        <v>0</v>
      </c>
      <c r="AB124">
        <f t="shared" si="24"/>
        <v>0</v>
      </c>
      <c r="AC124">
        <f t="shared" si="25"/>
        <v>0</v>
      </c>
      <c r="AD124">
        <f t="shared" si="19"/>
        <v>0</v>
      </c>
      <c r="AE124">
        <f t="shared" si="20"/>
        <v>0</v>
      </c>
      <c r="AF124">
        <f t="shared" si="13"/>
        <v>265591</v>
      </c>
    </row>
    <row r="125" spans="1:32" x14ac:dyDescent="0.35">
      <c r="A125" s="1">
        <v>0</v>
      </c>
      <c r="B125" t="s">
        <v>521</v>
      </c>
      <c r="C125" t="s">
        <v>10</v>
      </c>
      <c r="D125" t="s">
        <v>39</v>
      </c>
      <c r="E125" t="s">
        <v>39</v>
      </c>
      <c r="F125" t="s">
        <v>102</v>
      </c>
      <c r="G125">
        <v>38</v>
      </c>
      <c r="H125" t="s">
        <v>522</v>
      </c>
      <c r="I125">
        <v>0.13202005624771118</v>
      </c>
      <c r="J125">
        <v>0.22166724503040314</v>
      </c>
      <c r="L125">
        <v>0</v>
      </c>
      <c r="O125" t="s">
        <v>34</v>
      </c>
      <c r="P125">
        <v>1</v>
      </c>
      <c r="Q125">
        <v>346774</v>
      </c>
      <c r="R125">
        <v>346774</v>
      </c>
      <c r="S125">
        <f t="shared" si="21"/>
        <v>0</v>
      </c>
      <c r="T125">
        <f t="shared" si="22"/>
        <v>1</v>
      </c>
      <c r="U125">
        <f t="shared" si="14"/>
        <v>0</v>
      </c>
      <c r="V125">
        <v>0</v>
      </c>
      <c r="W125">
        <f t="shared" si="15"/>
        <v>0</v>
      </c>
      <c r="X125">
        <f t="shared" si="16"/>
        <v>0</v>
      </c>
      <c r="Y125">
        <f t="shared" si="17"/>
        <v>0</v>
      </c>
      <c r="Z125">
        <f t="shared" si="18"/>
        <v>0</v>
      </c>
      <c r="AA125">
        <f t="shared" si="23"/>
        <v>0</v>
      </c>
      <c r="AB125">
        <f t="shared" si="24"/>
        <v>0</v>
      </c>
      <c r="AC125">
        <f t="shared" si="25"/>
        <v>0</v>
      </c>
      <c r="AD125">
        <f t="shared" si="19"/>
        <v>0</v>
      </c>
      <c r="AE125">
        <f t="shared" si="20"/>
        <v>0</v>
      </c>
      <c r="AF125">
        <f t="shared" si="13"/>
        <v>346774</v>
      </c>
    </row>
    <row r="126" spans="1:32" x14ac:dyDescent="0.35">
      <c r="A126" s="1">
        <v>0</v>
      </c>
      <c r="B126" t="s">
        <v>286</v>
      </c>
      <c r="C126" t="s">
        <v>9</v>
      </c>
      <c r="D126" t="s">
        <v>39</v>
      </c>
      <c r="E126" t="s">
        <v>39</v>
      </c>
      <c r="F126" t="s">
        <v>97</v>
      </c>
      <c r="G126">
        <v>31</v>
      </c>
      <c r="H126" t="s">
        <v>287</v>
      </c>
      <c r="I126">
        <v>0.80759650468826294</v>
      </c>
      <c r="J126">
        <v>0.20117248594760895</v>
      </c>
      <c r="K126">
        <v>2</v>
      </c>
      <c r="L126">
        <v>12000000</v>
      </c>
      <c r="M126">
        <v>6000000</v>
      </c>
      <c r="O126" t="s">
        <v>129</v>
      </c>
      <c r="P126">
        <v>1</v>
      </c>
      <c r="Q126">
        <v>10000000</v>
      </c>
      <c r="R126">
        <v>10000000</v>
      </c>
      <c r="S126">
        <f t="shared" si="21"/>
        <v>0</v>
      </c>
      <c r="T126">
        <f t="shared" si="22"/>
        <v>0</v>
      </c>
      <c r="U126">
        <f t="shared" si="14"/>
        <v>1</v>
      </c>
      <c r="V126">
        <v>0</v>
      </c>
      <c r="W126">
        <f t="shared" si="15"/>
        <v>0</v>
      </c>
      <c r="X126">
        <f t="shared" si="16"/>
        <v>0</v>
      </c>
      <c r="Y126">
        <f t="shared" si="17"/>
        <v>0</v>
      </c>
      <c r="Z126">
        <f t="shared" si="18"/>
        <v>0</v>
      </c>
      <c r="AA126">
        <f t="shared" si="23"/>
        <v>0</v>
      </c>
      <c r="AB126">
        <f t="shared" si="24"/>
        <v>0</v>
      </c>
      <c r="AC126">
        <f t="shared" si="25"/>
        <v>0</v>
      </c>
      <c r="AD126">
        <f t="shared" si="19"/>
        <v>0</v>
      </c>
      <c r="AE126">
        <f t="shared" si="20"/>
        <v>0</v>
      </c>
      <c r="AF126">
        <f t="shared" si="13"/>
        <v>6000000</v>
      </c>
    </row>
    <row r="127" spans="1:32" x14ac:dyDescent="0.35">
      <c r="A127" s="1">
        <v>0</v>
      </c>
      <c r="B127" t="s">
        <v>552</v>
      </c>
      <c r="C127" t="s">
        <v>9</v>
      </c>
      <c r="D127" t="s">
        <v>39</v>
      </c>
      <c r="E127" t="s">
        <v>39</v>
      </c>
      <c r="F127" t="s">
        <v>34</v>
      </c>
      <c r="G127">
        <v>35</v>
      </c>
      <c r="H127" t="s">
        <v>553</v>
      </c>
      <c r="I127">
        <v>5.6362487375736237E-2</v>
      </c>
      <c r="J127">
        <v>0.19918128848075867</v>
      </c>
      <c r="L127">
        <v>0</v>
      </c>
      <c r="O127" t="s">
        <v>78</v>
      </c>
      <c r="P127">
        <v>1</v>
      </c>
      <c r="Q127">
        <v>7750000</v>
      </c>
      <c r="R127">
        <v>7750000</v>
      </c>
      <c r="S127">
        <f t="shared" si="21"/>
        <v>0</v>
      </c>
      <c r="T127">
        <f t="shared" si="22"/>
        <v>0</v>
      </c>
      <c r="U127">
        <f t="shared" si="14"/>
        <v>1</v>
      </c>
      <c r="V127">
        <v>0</v>
      </c>
      <c r="W127">
        <f t="shared" si="15"/>
        <v>0</v>
      </c>
      <c r="X127">
        <f t="shared" si="16"/>
        <v>0</v>
      </c>
      <c r="Y127">
        <f t="shared" si="17"/>
        <v>0</v>
      </c>
      <c r="Z127">
        <f t="shared" si="18"/>
        <v>0</v>
      </c>
      <c r="AA127">
        <f t="shared" si="23"/>
        <v>0</v>
      </c>
      <c r="AB127">
        <f t="shared" si="24"/>
        <v>0</v>
      </c>
      <c r="AC127">
        <f t="shared" si="25"/>
        <v>0</v>
      </c>
      <c r="AD127">
        <f t="shared" si="19"/>
        <v>0</v>
      </c>
      <c r="AE127">
        <f t="shared" si="20"/>
        <v>0</v>
      </c>
      <c r="AF127">
        <f t="shared" si="13"/>
        <v>7750000</v>
      </c>
    </row>
    <row r="128" spans="1:32" x14ac:dyDescent="0.35">
      <c r="A128" s="1">
        <v>0</v>
      </c>
      <c r="B128" t="s">
        <v>550</v>
      </c>
      <c r="C128" t="s">
        <v>9</v>
      </c>
      <c r="D128" t="s">
        <v>33</v>
      </c>
      <c r="E128" t="s">
        <v>33</v>
      </c>
      <c r="F128" t="s">
        <v>129</v>
      </c>
      <c r="G128">
        <v>35</v>
      </c>
      <c r="H128" t="s">
        <v>192</v>
      </c>
      <c r="I128">
        <v>7.9370364546775818E-2</v>
      </c>
      <c r="J128">
        <v>0.19732068479061127</v>
      </c>
      <c r="L128">
        <v>0</v>
      </c>
      <c r="O128" t="s">
        <v>254</v>
      </c>
      <c r="P128">
        <v>1</v>
      </c>
      <c r="Q128">
        <v>2000000</v>
      </c>
      <c r="R128">
        <v>2000000</v>
      </c>
      <c r="S128">
        <f t="shared" si="21"/>
        <v>0</v>
      </c>
      <c r="T128">
        <f t="shared" si="22"/>
        <v>0</v>
      </c>
      <c r="U128">
        <f t="shared" si="14"/>
        <v>1</v>
      </c>
      <c r="V128">
        <v>0</v>
      </c>
      <c r="W128">
        <f t="shared" si="15"/>
        <v>0</v>
      </c>
      <c r="X128">
        <f t="shared" si="16"/>
        <v>0</v>
      </c>
      <c r="Y128">
        <f t="shared" si="17"/>
        <v>0</v>
      </c>
      <c r="Z128">
        <f t="shared" si="18"/>
        <v>0</v>
      </c>
      <c r="AA128">
        <f t="shared" si="23"/>
        <v>0</v>
      </c>
      <c r="AB128">
        <f t="shared" si="24"/>
        <v>0</v>
      </c>
      <c r="AC128">
        <f t="shared" si="25"/>
        <v>0</v>
      </c>
      <c r="AD128">
        <f t="shared" si="19"/>
        <v>0</v>
      </c>
      <c r="AE128">
        <f t="shared" si="20"/>
        <v>0</v>
      </c>
      <c r="AF128">
        <f t="shared" si="13"/>
        <v>2000000</v>
      </c>
    </row>
    <row r="129" spans="1:32" x14ac:dyDescent="0.35">
      <c r="A129" s="1">
        <v>0</v>
      </c>
      <c r="B129" t="s">
        <v>785</v>
      </c>
      <c r="C129" t="s">
        <v>9</v>
      </c>
      <c r="D129" t="s">
        <v>39</v>
      </c>
      <c r="E129" t="s">
        <v>39</v>
      </c>
      <c r="F129" t="s">
        <v>151</v>
      </c>
      <c r="G129">
        <v>29</v>
      </c>
      <c r="H129" t="s">
        <v>786</v>
      </c>
      <c r="I129">
        <v>-0.96331673860549927</v>
      </c>
      <c r="J129">
        <v>0.19612075388431549</v>
      </c>
      <c r="L129">
        <v>0</v>
      </c>
      <c r="O129" t="s">
        <v>48</v>
      </c>
      <c r="P129">
        <v>1</v>
      </c>
      <c r="Q129">
        <v>1400000</v>
      </c>
      <c r="R129">
        <v>1400000</v>
      </c>
      <c r="S129">
        <f t="shared" si="21"/>
        <v>0</v>
      </c>
      <c r="T129">
        <f t="shared" si="22"/>
        <v>0</v>
      </c>
      <c r="U129">
        <f t="shared" si="14"/>
        <v>1</v>
      </c>
      <c r="V129">
        <v>0</v>
      </c>
      <c r="W129">
        <f t="shared" si="15"/>
        <v>0</v>
      </c>
      <c r="X129">
        <f t="shared" si="16"/>
        <v>0</v>
      </c>
      <c r="Y129">
        <f t="shared" si="17"/>
        <v>0</v>
      </c>
      <c r="Z129">
        <f t="shared" si="18"/>
        <v>0</v>
      </c>
      <c r="AA129">
        <f t="shared" si="23"/>
        <v>0</v>
      </c>
      <c r="AB129">
        <f t="shared" si="24"/>
        <v>0</v>
      </c>
      <c r="AC129">
        <f t="shared" si="25"/>
        <v>0</v>
      </c>
      <c r="AD129">
        <f t="shared" si="19"/>
        <v>0</v>
      </c>
      <c r="AE129">
        <f t="shared" si="20"/>
        <v>0</v>
      </c>
      <c r="AF129">
        <f t="shared" si="13"/>
        <v>1400000</v>
      </c>
    </row>
    <row r="130" spans="1:32" x14ac:dyDescent="0.35">
      <c r="A130" s="1">
        <v>0</v>
      </c>
      <c r="B130" t="s">
        <v>490</v>
      </c>
      <c r="C130" t="s">
        <v>9</v>
      </c>
      <c r="D130" t="s">
        <v>39</v>
      </c>
      <c r="E130" t="s">
        <v>39</v>
      </c>
      <c r="F130" t="s">
        <v>104</v>
      </c>
      <c r="G130">
        <v>32</v>
      </c>
      <c r="H130" t="s">
        <v>491</v>
      </c>
      <c r="I130">
        <v>0.20318952202796936</v>
      </c>
      <c r="J130">
        <v>0.18711018562316895</v>
      </c>
      <c r="L130">
        <v>0</v>
      </c>
      <c r="O130" t="s">
        <v>141</v>
      </c>
      <c r="P130">
        <v>1</v>
      </c>
      <c r="Q130">
        <v>3000000</v>
      </c>
      <c r="R130">
        <v>3000000</v>
      </c>
      <c r="S130">
        <f t="shared" si="21"/>
        <v>0</v>
      </c>
      <c r="T130">
        <f t="shared" si="22"/>
        <v>0</v>
      </c>
      <c r="U130">
        <f t="shared" si="14"/>
        <v>1</v>
      </c>
      <c r="V130">
        <v>0</v>
      </c>
      <c r="W130">
        <f t="shared" si="15"/>
        <v>0</v>
      </c>
      <c r="X130">
        <f t="shared" si="16"/>
        <v>0</v>
      </c>
      <c r="Y130">
        <f t="shared" si="17"/>
        <v>0</v>
      </c>
      <c r="Z130">
        <f t="shared" si="18"/>
        <v>0</v>
      </c>
      <c r="AA130">
        <f t="shared" si="23"/>
        <v>0</v>
      </c>
      <c r="AB130">
        <f t="shared" si="24"/>
        <v>0</v>
      </c>
      <c r="AC130">
        <f t="shared" si="25"/>
        <v>0</v>
      </c>
      <c r="AD130">
        <f t="shared" si="19"/>
        <v>0</v>
      </c>
      <c r="AE130">
        <f t="shared" si="20"/>
        <v>0</v>
      </c>
      <c r="AF130">
        <f t="shared" si="13"/>
        <v>3000000</v>
      </c>
    </row>
    <row r="131" spans="1:32" x14ac:dyDescent="0.35">
      <c r="A131" s="1">
        <v>0</v>
      </c>
      <c r="B131" t="s">
        <v>558</v>
      </c>
      <c r="C131" t="s">
        <v>9</v>
      </c>
      <c r="D131" t="s">
        <v>39</v>
      </c>
      <c r="E131" t="s">
        <v>39</v>
      </c>
      <c r="F131" t="s">
        <v>102</v>
      </c>
      <c r="G131">
        <v>32</v>
      </c>
      <c r="H131" t="s">
        <v>559</v>
      </c>
      <c r="I131">
        <v>4.1170444339513779E-2</v>
      </c>
      <c r="J131">
        <v>0.18623954057693481</v>
      </c>
      <c r="K131">
        <v>1</v>
      </c>
      <c r="L131">
        <v>4000000</v>
      </c>
      <c r="M131">
        <v>4000000</v>
      </c>
      <c r="O131" t="s">
        <v>70</v>
      </c>
      <c r="P131">
        <v>1</v>
      </c>
      <c r="Q131">
        <v>2500000</v>
      </c>
      <c r="R131">
        <v>2500000</v>
      </c>
      <c r="S131">
        <f t="shared" si="21"/>
        <v>0</v>
      </c>
      <c r="T131">
        <f t="shared" si="22"/>
        <v>0</v>
      </c>
      <c r="U131">
        <f t="shared" si="14"/>
        <v>1</v>
      </c>
      <c r="V131">
        <v>0</v>
      </c>
      <c r="W131">
        <f t="shared" si="15"/>
        <v>0</v>
      </c>
      <c r="X131">
        <f t="shared" si="16"/>
        <v>0</v>
      </c>
      <c r="Y131">
        <f t="shared" si="17"/>
        <v>0</v>
      </c>
      <c r="Z131">
        <f t="shared" si="18"/>
        <v>0</v>
      </c>
      <c r="AA131">
        <f t="shared" si="23"/>
        <v>0</v>
      </c>
      <c r="AB131">
        <f t="shared" si="24"/>
        <v>0</v>
      </c>
      <c r="AC131">
        <f t="shared" si="25"/>
        <v>0</v>
      </c>
      <c r="AD131">
        <f t="shared" si="19"/>
        <v>0</v>
      </c>
      <c r="AE131">
        <f t="shared" si="20"/>
        <v>0</v>
      </c>
      <c r="AF131">
        <f t="shared" si="13"/>
        <v>4000000</v>
      </c>
    </row>
    <row r="132" spans="1:32" x14ac:dyDescent="0.35">
      <c r="A132" s="1">
        <v>0</v>
      </c>
      <c r="B132" t="s">
        <v>212</v>
      </c>
      <c r="C132" t="s">
        <v>10</v>
      </c>
      <c r="D132" t="s">
        <v>33</v>
      </c>
      <c r="E132" t="s">
        <v>33</v>
      </c>
      <c r="F132" t="s">
        <v>62</v>
      </c>
      <c r="G132">
        <v>28</v>
      </c>
      <c r="H132" t="s">
        <v>213</v>
      </c>
      <c r="I132">
        <v>1.2016021013259888</v>
      </c>
      <c r="J132">
        <v>0.18469195067882538</v>
      </c>
      <c r="L132">
        <v>0</v>
      </c>
      <c r="O132" t="s">
        <v>53</v>
      </c>
      <c r="P132">
        <v>2</v>
      </c>
      <c r="Q132">
        <v>18250000</v>
      </c>
      <c r="R132">
        <v>9125000</v>
      </c>
      <c r="S132">
        <f t="shared" si="21"/>
        <v>0</v>
      </c>
      <c r="T132">
        <f t="shared" si="22"/>
        <v>1</v>
      </c>
      <c r="U132">
        <f t="shared" si="14"/>
        <v>0</v>
      </c>
      <c r="V132">
        <v>0</v>
      </c>
      <c r="W132">
        <f t="shared" si="15"/>
        <v>0</v>
      </c>
      <c r="X132">
        <f t="shared" si="16"/>
        <v>0</v>
      </c>
      <c r="Y132">
        <f t="shared" si="17"/>
        <v>0</v>
      </c>
      <c r="Z132">
        <f t="shared" si="18"/>
        <v>0</v>
      </c>
      <c r="AA132">
        <f t="shared" si="23"/>
        <v>0</v>
      </c>
      <c r="AB132">
        <f t="shared" si="24"/>
        <v>0</v>
      </c>
      <c r="AC132">
        <f t="shared" si="25"/>
        <v>0</v>
      </c>
      <c r="AD132">
        <f t="shared" si="19"/>
        <v>0</v>
      </c>
      <c r="AE132">
        <f t="shared" si="20"/>
        <v>0</v>
      </c>
      <c r="AF132">
        <f t="shared" si="13"/>
        <v>9125000</v>
      </c>
    </row>
    <row r="133" spans="1:32" x14ac:dyDescent="0.35">
      <c r="A133" s="1">
        <v>0</v>
      </c>
      <c r="B133" t="s">
        <v>327</v>
      </c>
      <c r="C133" t="s">
        <v>116</v>
      </c>
      <c r="D133" t="s">
        <v>39</v>
      </c>
      <c r="E133" t="s">
        <v>39</v>
      </c>
      <c r="F133" t="s">
        <v>62</v>
      </c>
      <c r="G133">
        <v>36</v>
      </c>
      <c r="H133" t="s">
        <v>328</v>
      </c>
      <c r="I133">
        <v>0.6507299542427063</v>
      </c>
      <c r="J133">
        <v>0.1700701117515564</v>
      </c>
      <c r="L133">
        <v>0</v>
      </c>
      <c r="O133" t="s">
        <v>97</v>
      </c>
      <c r="P133">
        <v>1</v>
      </c>
      <c r="Q133">
        <v>1000000</v>
      </c>
      <c r="R133">
        <v>1000000</v>
      </c>
      <c r="S133">
        <f t="shared" si="21"/>
        <v>0</v>
      </c>
      <c r="T133">
        <f t="shared" si="22"/>
        <v>0</v>
      </c>
      <c r="U133">
        <f t="shared" si="14"/>
        <v>0</v>
      </c>
      <c r="V133">
        <v>0</v>
      </c>
      <c r="W133">
        <f t="shared" si="15"/>
        <v>0</v>
      </c>
      <c r="X133">
        <f t="shared" si="16"/>
        <v>0</v>
      </c>
      <c r="Y133">
        <f t="shared" si="17"/>
        <v>0</v>
      </c>
      <c r="Z133">
        <f t="shared" si="18"/>
        <v>0</v>
      </c>
      <c r="AA133">
        <f t="shared" si="23"/>
        <v>1</v>
      </c>
      <c r="AB133">
        <f t="shared" si="24"/>
        <v>1</v>
      </c>
      <c r="AC133">
        <f t="shared" si="25"/>
        <v>1</v>
      </c>
      <c r="AD133">
        <f t="shared" si="19"/>
        <v>0</v>
      </c>
      <c r="AE133">
        <f t="shared" si="20"/>
        <v>0</v>
      </c>
      <c r="AF133">
        <f t="shared" si="13"/>
        <v>1000000</v>
      </c>
    </row>
    <row r="134" spans="1:32" x14ac:dyDescent="0.35">
      <c r="A134" s="1">
        <v>0</v>
      </c>
      <c r="B134" t="s">
        <v>462</v>
      </c>
      <c r="C134" t="s">
        <v>9</v>
      </c>
      <c r="D134" t="s">
        <v>39</v>
      </c>
      <c r="E134" t="s">
        <v>39</v>
      </c>
      <c r="F134" t="s">
        <v>53</v>
      </c>
      <c r="G134">
        <v>38</v>
      </c>
      <c r="H134" t="s">
        <v>463</v>
      </c>
      <c r="I134">
        <v>0.26689878106117249</v>
      </c>
      <c r="J134">
        <v>0.16752976179122925</v>
      </c>
      <c r="K134">
        <v>1</v>
      </c>
      <c r="L134">
        <v>3000000</v>
      </c>
      <c r="M134">
        <v>3000000</v>
      </c>
      <c r="O134" t="s">
        <v>66</v>
      </c>
      <c r="P134">
        <v>1</v>
      </c>
      <c r="Q134">
        <v>1500000</v>
      </c>
      <c r="R134">
        <v>1500000</v>
      </c>
      <c r="S134">
        <f t="shared" si="21"/>
        <v>0</v>
      </c>
      <c r="T134">
        <f t="shared" si="22"/>
        <v>0</v>
      </c>
      <c r="U134">
        <f t="shared" si="14"/>
        <v>1</v>
      </c>
      <c r="V134">
        <v>0</v>
      </c>
      <c r="W134">
        <f t="shared" si="15"/>
        <v>0</v>
      </c>
      <c r="X134">
        <f t="shared" si="16"/>
        <v>0</v>
      </c>
      <c r="Y134">
        <f t="shared" si="17"/>
        <v>0</v>
      </c>
      <c r="Z134">
        <f t="shared" si="18"/>
        <v>0</v>
      </c>
      <c r="AA134">
        <f t="shared" si="23"/>
        <v>0</v>
      </c>
      <c r="AB134">
        <f t="shared" si="24"/>
        <v>0</v>
      </c>
      <c r="AC134">
        <f t="shared" si="25"/>
        <v>0</v>
      </c>
      <c r="AD134">
        <f t="shared" si="19"/>
        <v>0</v>
      </c>
      <c r="AE134">
        <f t="shared" si="20"/>
        <v>0</v>
      </c>
      <c r="AF134">
        <f t="shared" si="13"/>
        <v>3000000</v>
      </c>
    </row>
    <row r="135" spans="1:32" x14ac:dyDescent="0.35">
      <c r="A135" s="1">
        <v>0</v>
      </c>
      <c r="B135" t="s">
        <v>462</v>
      </c>
      <c r="C135" t="s">
        <v>9</v>
      </c>
      <c r="D135" t="s">
        <v>39</v>
      </c>
      <c r="E135" t="s">
        <v>39</v>
      </c>
      <c r="F135" t="s">
        <v>53</v>
      </c>
      <c r="G135">
        <v>38</v>
      </c>
      <c r="H135" t="s">
        <v>463</v>
      </c>
      <c r="I135">
        <v>0.26689878106117249</v>
      </c>
      <c r="J135">
        <v>0.16752976179122925</v>
      </c>
      <c r="K135">
        <v>1</v>
      </c>
      <c r="L135">
        <v>3000000</v>
      </c>
      <c r="M135">
        <v>3000000</v>
      </c>
      <c r="O135" t="s">
        <v>141</v>
      </c>
      <c r="P135">
        <v>1</v>
      </c>
      <c r="Q135">
        <v>339140</v>
      </c>
      <c r="R135">
        <v>339140</v>
      </c>
      <c r="S135">
        <f t="shared" si="21"/>
        <v>0</v>
      </c>
      <c r="T135">
        <f t="shared" si="22"/>
        <v>0</v>
      </c>
      <c r="U135">
        <f t="shared" si="14"/>
        <v>1</v>
      </c>
      <c r="V135">
        <v>0</v>
      </c>
      <c r="W135">
        <f t="shared" si="15"/>
        <v>0</v>
      </c>
      <c r="X135">
        <f t="shared" si="16"/>
        <v>0</v>
      </c>
      <c r="Y135">
        <f t="shared" si="17"/>
        <v>0</v>
      </c>
      <c r="Z135">
        <f t="shared" si="18"/>
        <v>0</v>
      </c>
      <c r="AA135">
        <f t="shared" si="23"/>
        <v>0</v>
      </c>
      <c r="AB135">
        <f t="shared" si="24"/>
        <v>0</v>
      </c>
      <c r="AC135">
        <f t="shared" si="25"/>
        <v>0</v>
      </c>
      <c r="AD135">
        <f t="shared" si="19"/>
        <v>0</v>
      </c>
      <c r="AE135">
        <f t="shared" si="20"/>
        <v>0</v>
      </c>
      <c r="AF135">
        <f t="shared" si="13"/>
        <v>3000000</v>
      </c>
    </row>
    <row r="136" spans="1:32" x14ac:dyDescent="0.35">
      <c r="A136" s="1">
        <v>0</v>
      </c>
      <c r="B136" t="s">
        <v>591</v>
      </c>
      <c r="C136" t="s">
        <v>9</v>
      </c>
      <c r="D136" t="s">
        <v>39</v>
      </c>
      <c r="E136" t="s">
        <v>39</v>
      </c>
      <c r="F136" t="s">
        <v>36</v>
      </c>
      <c r="G136">
        <v>33</v>
      </c>
      <c r="H136" t="s">
        <v>592</v>
      </c>
      <c r="I136">
        <v>-3.0892983078956604E-2</v>
      </c>
      <c r="J136">
        <v>0.16131676733493805</v>
      </c>
      <c r="L136">
        <v>0</v>
      </c>
      <c r="O136" t="s">
        <v>36</v>
      </c>
      <c r="P136">
        <v>1</v>
      </c>
      <c r="Q136">
        <v>4500000</v>
      </c>
      <c r="R136">
        <v>4500000</v>
      </c>
      <c r="S136">
        <f t="shared" si="21"/>
        <v>0</v>
      </c>
      <c r="T136">
        <f t="shared" si="22"/>
        <v>0</v>
      </c>
      <c r="U136">
        <f t="shared" si="14"/>
        <v>1</v>
      </c>
      <c r="V136">
        <v>0</v>
      </c>
      <c r="W136">
        <f t="shared" si="15"/>
        <v>0</v>
      </c>
      <c r="X136">
        <f t="shared" si="16"/>
        <v>0</v>
      </c>
      <c r="Y136">
        <f t="shared" si="17"/>
        <v>0</v>
      </c>
      <c r="Z136">
        <f t="shared" si="18"/>
        <v>0</v>
      </c>
      <c r="AA136">
        <f t="shared" si="23"/>
        <v>0</v>
      </c>
      <c r="AB136">
        <f t="shared" si="24"/>
        <v>0</v>
      </c>
      <c r="AC136">
        <f t="shared" si="25"/>
        <v>0</v>
      </c>
      <c r="AD136">
        <f t="shared" si="19"/>
        <v>0</v>
      </c>
      <c r="AE136">
        <f t="shared" si="20"/>
        <v>0</v>
      </c>
      <c r="AF136">
        <f t="shared" si="13"/>
        <v>4500000</v>
      </c>
    </row>
    <row r="137" spans="1:32" x14ac:dyDescent="0.35">
      <c r="A137" s="1">
        <v>0</v>
      </c>
      <c r="B137" t="s">
        <v>541</v>
      </c>
      <c r="C137" t="s">
        <v>542</v>
      </c>
      <c r="D137" t="s">
        <v>33</v>
      </c>
      <c r="E137" t="s">
        <v>39</v>
      </c>
      <c r="F137" t="s">
        <v>48</v>
      </c>
      <c r="G137">
        <v>30</v>
      </c>
      <c r="H137" t="s">
        <v>543</v>
      </c>
      <c r="I137">
        <v>0.10460204631090164</v>
      </c>
      <c r="J137">
        <v>0.14902991056442261</v>
      </c>
      <c r="L137">
        <v>0</v>
      </c>
      <c r="O137" t="s">
        <v>81</v>
      </c>
      <c r="P137">
        <v>1</v>
      </c>
      <c r="Q137">
        <v>2000000</v>
      </c>
      <c r="R137">
        <v>2000000</v>
      </c>
      <c r="S137">
        <f t="shared" si="21"/>
        <v>0</v>
      </c>
      <c r="T137">
        <f t="shared" si="22"/>
        <v>0</v>
      </c>
      <c r="U137">
        <f t="shared" si="14"/>
        <v>0</v>
      </c>
      <c r="V137">
        <v>0</v>
      </c>
      <c r="W137">
        <f t="shared" si="15"/>
        <v>0</v>
      </c>
      <c r="X137">
        <f t="shared" si="16"/>
        <v>1</v>
      </c>
      <c r="Y137">
        <f t="shared" si="17"/>
        <v>0</v>
      </c>
      <c r="Z137">
        <f t="shared" si="18"/>
        <v>1</v>
      </c>
      <c r="AA137">
        <f t="shared" si="23"/>
        <v>1</v>
      </c>
      <c r="AB137">
        <f t="shared" si="24"/>
        <v>0</v>
      </c>
      <c r="AC137">
        <f t="shared" si="25"/>
        <v>1</v>
      </c>
      <c r="AD137">
        <f t="shared" si="19"/>
        <v>0</v>
      </c>
      <c r="AE137">
        <f t="shared" si="20"/>
        <v>0</v>
      </c>
      <c r="AF137">
        <f t="shared" si="13"/>
        <v>2000000</v>
      </c>
    </row>
    <row r="138" spans="1:32" x14ac:dyDescent="0.35">
      <c r="A138" s="1">
        <v>0</v>
      </c>
      <c r="B138" t="s">
        <v>396</v>
      </c>
      <c r="C138" t="s">
        <v>9</v>
      </c>
      <c r="D138" t="s">
        <v>45</v>
      </c>
      <c r="E138" t="s">
        <v>39</v>
      </c>
      <c r="F138" t="s">
        <v>36</v>
      </c>
      <c r="G138">
        <v>39</v>
      </c>
      <c r="H138" t="s">
        <v>397</v>
      </c>
      <c r="I138">
        <v>0.45945456624031067</v>
      </c>
      <c r="J138">
        <v>0.14225183427333832</v>
      </c>
      <c r="L138">
        <v>0</v>
      </c>
      <c r="O138" t="s">
        <v>34</v>
      </c>
      <c r="P138">
        <v>1</v>
      </c>
      <c r="Q138">
        <v>53763</v>
      </c>
      <c r="R138">
        <v>53763</v>
      </c>
      <c r="S138">
        <f t="shared" si="21"/>
        <v>0</v>
      </c>
      <c r="T138">
        <f t="shared" si="22"/>
        <v>0</v>
      </c>
      <c r="U138">
        <f t="shared" si="14"/>
        <v>1</v>
      </c>
      <c r="V138">
        <v>0</v>
      </c>
      <c r="W138">
        <f t="shared" si="15"/>
        <v>0</v>
      </c>
      <c r="X138">
        <f t="shared" si="16"/>
        <v>0</v>
      </c>
      <c r="Y138">
        <f t="shared" si="17"/>
        <v>0</v>
      </c>
      <c r="Z138">
        <f t="shared" si="18"/>
        <v>0</v>
      </c>
      <c r="AA138">
        <f t="shared" si="23"/>
        <v>0</v>
      </c>
      <c r="AB138">
        <f t="shared" si="24"/>
        <v>0</v>
      </c>
      <c r="AC138">
        <f t="shared" si="25"/>
        <v>0</v>
      </c>
      <c r="AD138">
        <f t="shared" si="19"/>
        <v>0</v>
      </c>
      <c r="AE138">
        <f t="shared" si="20"/>
        <v>0</v>
      </c>
      <c r="AF138">
        <f t="shared" si="13"/>
        <v>53763</v>
      </c>
    </row>
    <row r="139" spans="1:32" x14ac:dyDescent="0.35">
      <c r="A139" s="1">
        <v>0</v>
      </c>
      <c r="B139" t="s">
        <v>403</v>
      </c>
      <c r="C139" t="s">
        <v>9</v>
      </c>
      <c r="D139" t="s">
        <v>39</v>
      </c>
      <c r="E139" t="s">
        <v>33</v>
      </c>
      <c r="F139" t="s">
        <v>97</v>
      </c>
      <c r="G139">
        <v>35</v>
      </c>
      <c r="H139" t="s">
        <v>404</v>
      </c>
      <c r="I139">
        <v>0.42827689647674561</v>
      </c>
      <c r="J139">
        <v>0.13597886264324188</v>
      </c>
      <c r="L139">
        <v>0</v>
      </c>
      <c r="O139" t="s">
        <v>141</v>
      </c>
      <c r="P139">
        <v>1</v>
      </c>
      <c r="Q139">
        <v>1000000</v>
      </c>
      <c r="R139">
        <v>1000000</v>
      </c>
      <c r="S139">
        <f t="shared" si="21"/>
        <v>0</v>
      </c>
      <c r="T139">
        <f t="shared" si="22"/>
        <v>0</v>
      </c>
      <c r="U139">
        <f t="shared" si="14"/>
        <v>1</v>
      </c>
      <c r="V139">
        <v>0</v>
      </c>
      <c r="W139">
        <f t="shared" si="15"/>
        <v>0</v>
      </c>
      <c r="X139">
        <f t="shared" si="16"/>
        <v>0</v>
      </c>
      <c r="Y139">
        <f t="shared" si="17"/>
        <v>0</v>
      </c>
      <c r="Z139">
        <f t="shared" si="18"/>
        <v>0</v>
      </c>
      <c r="AA139">
        <f t="shared" si="23"/>
        <v>0</v>
      </c>
      <c r="AB139">
        <f t="shared" si="24"/>
        <v>0</v>
      </c>
      <c r="AC139">
        <f t="shared" si="25"/>
        <v>0</v>
      </c>
      <c r="AD139">
        <f t="shared" si="19"/>
        <v>0</v>
      </c>
      <c r="AE139">
        <f t="shared" si="20"/>
        <v>0</v>
      </c>
      <c r="AF139">
        <f t="shared" si="13"/>
        <v>1000000</v>
      </c>
    </row>
    <row r="140" spans="1:32" x14ac:dyDescent="0.35">
      <c r="A140" s="1">
        <v>0</v>
      </c>
      <c r="B140" t="s">
        <v>425</v>
      </c>
      <c r="C140" t="s">
        <v>3</v>
      </c>
      <c r="D140" t="s">
        <v>39</v>
      </c>
      <c r="E140" t="s">
        <v>39</v>
      </c>
      <c r="F140" t="s">
        <v>70</v>
      </c>
      <c r="G140">
        <v>34</v>
      </c>
      <c r="H140" t="s">
        <v>426</v>
      </c>
      <c r="I140">
        <v>0.36488145589828491</v>
      </c>
      <c r="J140">
        <v>0.13363847136497498</v>
      </c>
      <c r="L140">
        <v>0</v>
      </c>
      <c r="O140" t="s">
        <v>70</v>
      </c>
      <c r="P140">
        <v>1</v>
      </c>
      <c r="Q140">
        <v>1100000</v>
      </c>
      <c r="R140">
        <v>1100000</v>
      </c>
      <c r="S140">
        <f t="shared" si="21"/>
        <v>0</v>
      </c>
      <c r="T140">
        <f t="shared" si="22"/>
        <v>0</v>
      </c>
      <c r="U140">
        <f t="shared" si="14"/>
        <v>0</v>
      </c>
      <c r="V140">
        <v>1</v>
      </c>
      <c r="W140">
        <f t="shared" si="15"/>
        <v>0</v>
      </c>
      <c r="X140">
        <f t="shared" si="16"/>
        <v>0</v>
      </c>
      <c r="Y140">
        <f t="shared" si="17"/>
        <v>0</v>
      </c>
      <c r="Z140">
        <f t="shared" si="18"/>
        <v>0</v>
      </c>
      <c r="AA140">
        <f t="shared" si="23"/>
        <v>0</v>
      </c>
      <c r="AB140">
        <f t="shared" si="24"/>
        <v>0</v>
      </c>
      <c r="AC140">
        <f t="shared" si="25"/>
        <v>0</v>
      </c>
      <c r="AD140">
        <f t="shared" si="19"/>
        <v>0</v>
      </c>
      <c r="AE140">
        <f t="shared" si="20"/>
        <v>0</v>
      </c>
      <c r="AF140">
        <f t="shared" si="13"/>
        <v>1100000</v>
      </c>
    </row>
    <row r="141" spans="1:32" x14ac:dyDescent="0.35">
      <c r="A141" s="1">
        <v>0</v>
      </c>
      <c r="B141" t="s">
        <v>739</v>
      </c>
      <c r="C141" t="s">
        <v>740</v>
      </c>
      <c r="D141" t="s">
        <v>33</v>
      </c>
      <c r="E141" t="s">
        <v>39</v>
      </c>
      <c r="F141" t="s">
        <v>81</v>
      </c>
      <c r="G141">
        <v>33</v>
      </c>
      <c r="H141" t="s">
        <v>741</v>
      </c>
      <c r="I141">
        <v>-0.51940852403640747</v>
      </c>
      <c r="J141">
        <v>0.12648271024227142</v>
      </c>
      <c r="L141">
        <v>0</v>
      </c>
      <c r="O141" t="s">
        <v>125</v>
      </c>
      <c r="P141">
        <v>1</v>
      </c>
      <c r="Q141">
        <v>1525000</v>
      </c>
      <c r="R141">
        <v>1525000</v>
      </c>
      <c r="S141">
        <f t="shared" si="21"/>
        <v>0</v>
      </c>
      <c r="T141">
        <f t="shared" si="22"/>
        <v>0</v>
      </c>
      <c r="U141">
        <f t="shared" si="14"/>
        <v>0</v>
      </c>
      <c r="V141">
        <v>0</v>
      </c>
      <c r="W141">
        <f t="shared" si="15"/>
        <v>0</v>
      </c>
      <c r="X141">
        <f t="shared" si="16"/>
        <v>1</v>
      </c>
      <c r="Y141">
        <f t="shared" si="17"/>
        <v>0</v>
      </c>
      <c r="Z141">
        <f t="shared" si="18"/>
        <v>0</v>
      </c>
      <c r="AA141">
        <f t="shared" si="23"/>
        <v>1</v>
      </c>
      <c r="AB141">
        <f t="shared" si="24"/>
        <v>0</v>
      </c>
      <c r="AC141">
        <f t="shared" si="25"/>
        <v>1</v>
      </c>
      <c r="AD141">
        <f t="shared" si="19"/>
        <v>0</v>
      </c>
      <c r="AE141">
        <f t="shared" si="20"/>
        <v>0</v>
      </c>
      <c r="AF141">
        <f t="shared" si="13"/>
        <v>1525000</v>
      </c>
    </row>
    <row r="142" spans="1:32" x14ac:dyDescent="0.35">
      <c r="A142" s="1">
        <v>0</v>
      </c>
      <c r="B142" t="s">
        <v>447</v>
      </c>
      <c r="C142" t="s">
        <v>9</v>
      </c>
      <c r="D142" t="s">
        <v>39</v>
      </c>
      <c r="E142" t="s">
        <v>39</v>
      </c>
      <c r="F142" t="s">
        <v>184</v>
      </c>
      <c r="G142">
        <v>35</v>
      </c>
      <c r="H142" t="s">
        <v>448</v>
      </c>
      <c r="I142">
        <v>0.29568716883659363</v>
      </c>
      <c r="J142">
        <v>0.11859180778264999</v>
      </c>
      <c r="K142">
        <v>1</v>
      </c>
      <c r="L142">
        <v>3000000</v>
      </c>
      <c r="M142">
        <v>3000000</v>
      </c>
      <c r="O142" t="s">
        <v>56</v>
      </c>
      <c r="P142">
        <v>1</v>
      </c>
      <c r="Q142">
        <v>10000000</v>
      </c>
      <c r="R142">
        <v>10000000</v>
      </c>
      <c r="S142">
        <f t="shared" si="21"/>
        <v>0</v>
      </c>
      <c r="T142">
        <f t="shared" si="22"/>
        <v>0</v>
      </c>
      <c r="U142">
        <f t="shared" si="14"/>
        <v>1</v>
      </c>
      <c r="V142">
        <v>0</v>
      </c>
      <c r="W142">
        <f t="shared" si="15"/>
        <v>0</v>
      </c>
      <c r="X142">
        <f t="shared" si="16"/>
        <v>0</v>
      </c>
      <c r="Y142">
        <f t="shared" si="17"/>
        <v>0</v>
      </c>
      <c r="Z142">
        <f t="shared" si="18"/>
        <v>0</v>
      </c>
      <c r="AA142">
        <f t="shared" si="23"/>
        <v>0</v>
      </c>
      <c r="AB142">
        <f t="shared" si="24"/>
        <v>0</v>
      </c>
      <c r="AC142">
        <f t="shared" si="25"/>
        <v>0</v>
      </c>
      <c r="AD142">
        <f t="shared" si="19"/>
        <v>0</v>
      </c>
      <c r="AE142">
        <f t="shared" si="20"/>
        <v>0</v>
      </c>
      <c r="AF142">
        <f t="shared" si="13"/>
        <v>3000000</v>
      </c>
    </row>
    <row r="143" spans="1:32" x14ac:dyDescent="0.35">
      <c r="A143" s="1">
        <v>0</v>
      </c>
      <c r="B143" t="s">
        <v>698</v>
      </c>
      <c r="C143" t="s">
        <v>10</v>
      </c>
      <c r="D143" t="s">
        <v>39</v>
      </c>
      <c r="E143" t="s">
        <v>39</v>
      </c>
      <c r="F143" t="s">
        <v>40</v>
      </c>
      <c r="G143">
        <v>27</v>
      </c>
      <c r="H143" t="s">
        <v>699</v>
      </c>
      <c r="I143">
        <v>-0.25622951984405518</v>
      </c>
      <c r="J143">
        <v>0.11794913560152054</v>
      </c>
      <c r="L143">
        <v>0</v>
      </c>
      <c r="O143" t="s">
        <v>151</v>
      </c>
      <c r="P143">
        <v>1</v>
      </c>
      <c r="Q143">
        <v>1050000</v>
      </c>
      <c r="R143">
        <v>1050000</v>
      </c>
      <c r="S143">
        <f t="shared" si="21"/>
        <v>0</v>
      </c>
      <c r="T143">
        <f t="shared" si="22"/>
        <v>1</v>
      </c>
      <c r="U143">
        <f t="shared" si="14"/>
        <v>0</v>
      </c>
      <c r="V143">
        <v>0</v>
      </c>
      <c r="W143">
        <f t="shared" si="15"/>
        <v>0</v>
      </c>
      <c r="X143">
        <f t="shared" si="16"/>
        <v>0</v>
      </c>
      <c r="Y143">
        <f t="shared" si="17"/>
        <v>0</v>
      </c>
      <c r="Z143">
        <f t="shared" si="18"/>
        <v>0</v>
      </c>
      <c r="AA143">
        <f t="shared" si="23"/>
        <v>0</v>
      </c>
      <c r="AB143">
        <f t="shared" si="24"/>
        <v>0</v>
      </c>
      <c r="AC143">
        <f t="shared" si="25"/>
        <v>0</v>
      </c>
      <c r="AD143">
        <f t="shared" si="19"/>
        <v>0</v>
      </c>
      <c r="AE143">
        <f t="shared" si="20"/>
        <v>0</v>
      </c>
      <c r="AF143">
        <f t="shared" si="13"/>
        <v>1050000</v>
      </c>
    </row>
    <row r="144" spans="1:32" x14ac:dyDescent="0.35">
      <c r="A144" s="1">
        <v>0</v>
      </c>
      <c r="B144" t="s">
        <v>510</v>
      </c>
      <c r="C144" t="s">
        <v>3</v>
      </c>
      <c r="D144" t="s">
        <v>39</v>
      </c>
      <c r="E144" t="s">
        <v>39</v>
      </c>
      <c r="F144" t="s">
        <v>56</v>
      </c>
      <c r="G144">
        <v>35</v>
      </c>
      <c r="H144" t="s">
        <v>96</v>
      </c>
      <c r="I144">
        <v>0.15860511362552643</v>
      </c>
      <c r="J144">
        <v>0.11500290781259537</v>
      </c>
      <c r="L144">
        <v>0</v>
      </c>
      <c r="O144" t="s">
        <v>58</v>
      </c>
      <c r="P144">
        <v>1</v>
      </c>
      <c r="Q144">
        <v>404516</v>
      </c>
      <c r="R144">
        <v>404516</v>
      </c>
      <c r="S144">
        <f t="shared" si="21"/>
        <v>0</v>
      </c>
      <c r="T144">
        <f t="shared" si="22"/>
        <v>0</v>
      </c>
      <c r="U144">
        <f t="shared" si="14"/>
        <v>0</v>
      </c>
      <c r="V144">
        <v>1</v>
      </c>
      <c r="W144">
        <f t="shared" si="15"/>
        <v>0</v>
      </c>
      <c r="X144">
        <f t="shared" si="16"/>
        <v>0</v>
      </c>
      <c r="Y144">
        <f t="shared" si="17"/>
        <v>0</v>
      </c>
      <c r="Z144">
        <f t="shared" si="18"/>
        <v>0</v>
      </c>
      <c r="AA144">
        <f t="shared" si="23"/>
        <v>0</v>
      </c>
      <c r="AB144">
        <f t="shared" si="24"/>
        <v>0</v>
      </c>
      <c r="AC144">
        <f t="shared" si="25"/>
        <v>0</v>
      </c>
      <c r="AD144">
        <f t="shared" si="19"/>
        <v>0</v>
      </c>
      <c r="AE144">
        <f t="shared" si="20"/>
        <v>0</v>
      </c>
      <c r="AF144">
        <f t="shared" si="13"/>
        <v>404516</v>
      </c>
    </row>
    <row r="145" spans="1:32" x14ac:dyDescent="0.35">
      <c r="A145" s="1">
        <v>0</v>
      </c>
      <c r="B145" t="s">
        <v>253</v>
      </c>
      <c r="C145" t="s">
        <v>3</v>
      </c>
      <c r="D145" t="s">
        <v>39</v>
      </c>
      <c r="E145" t="s">
        <v>39</v>
      </c>
      <c r="F145" t="s">
        <v>254</v>
      </c>
      <c r="G145">
        <v>35</v>
      </c>
      <c r="H145" t="s">
        <v>255</v>
      </c>
      <c r="I145">
        <v>0.90673166513442993</v>
      </c>
      <c r="J145">
        <v>0.11341314762830734</v>
      </c>
      <c r="L145">
        <v>0</v>
      </c>
      <c r="O145" t="s">
        <v>254</v>
      </c>
      <c r="P145">
        <v>1</v>
      </c>
      <c r="Q145">
        <v>2500000</v>
      </c>
      <c r="R145">
        <v>2500000</v>
      </c>
      <c r="S145">
        <f t="shared" si="21"/>
        <v>0</v>
      </c>
      <c r="T145">
        <f t="shared" si="22"/>
        <v>0</v>
      </c>
      <c r="U145">
        <f t="shared" si="14"/>
        <v>0</v>
      </c>
      <c r="V145">
        <v>1</v>
      </c>
      <c r="W145">
        <f t="shared" si="15"/>
        <v>0</v>
      </c>
      <c r="X145">
        <f t="shared" si="16"/>
        <v>0</v>
      </c>
      <c r="Y145">
        <f t="shared" si="17"/>
        <v>0</v>
      </c>
      <c r="Z145">
        <f t="shared" si="18"/>
        <v>0</v>
      </c>
      <c r="AA145">
        <f t="shared" si="23"/>
        <v>0</v>
      </c>
      <c r="AB145">
        <f t="shared" si="24"/>
        <v>0</v>
      </c>
      <c r="AC145">
        <f t="shared" si="25"/>
        <v>0</v>
      </c>
      <c r="AD145">
        <f t="shared" si="19"/>
        <v>0</v>
      </c>
      <c r="AE145">
        <f t="shared" si="20"/>
        <v>0</v>
      </c>
      <c r="AF145">
        <f t="shared" ref="AF145:AF170" si="26">IF(M145="", R145, M145)</f>
        <v>2500000</v>
      </c>
    </row>
    <row r="146" spans="1:32" x14ac:dyDescent="0.35">
      <c r="A146" s="1">
        <v>0</v>
      </c>
      <c r="B146" t="s">
        <v>253</v>
      </c>
      <c r="C146" t="s">
        <v>3</v>
      </c>
      <c r="D146" t="s">
        <v>39</v>
      </c>
      <c r="E146" t="s">
        <v>39</v>
      </c>
      <c r="F146" t="s">
        <v>254</v>
      </c>
      <c r="G146">
        <v>35</v>
      </c>
      <c r="H146" t="s">
        <v>255</v>
      </c>
      <c r="I146">
        <v>0.90673166513442993</v>
      </c>
      <c r="J146">
        <v>0.11341314762830734</v>
      </c>
      <c r="L146">
        <v>0</v>
      </c>
      <c r="O146" t="s">
        <v>56</v>
      </c>
      <c r="P146">
        <v>1</v>
      </c>
      <c r="Q146">
        <v>367742</v>
      </c>
      <c r="R146">
        <v>367742</v>
      </c>
      <c r="S146">
        <f t="shared" si="21"/>
        <v>0</v>
      </c>
      <c r="T146">
        <f t="shared" si="22"/>
        <v>0</v>
      </c>
      <c r="U146">
        <f t="shared" si="14"/>
        <v>0</v>
      </c>
      <c r="V146">
        <v>1</v>
      </c>
      <c r="W146">
        <f t="shared" si="15"/>
        <v>0</v>
      </c>
      <c r="X146">
        <f t="shared" si="16"/>
        <v>0</v>
      </c>
      <c r="Y146">
        <f t="shared" si="17"/>
        <v>0</v>
      </c>
      <c r="Z146">
        <f t="shared" si="18"/>
        <v>0</v>
      </c>
      <c r="AA146">
        <f t="shared" si="23"/>
        <v>0</v>
      </c>
      <c r="AB146">
        <f t="shared" si="24"/>
        <v>0</v>
      </c>
      <c r="AC146">
        <f t="shared" si="25"/>
        <v>0</v>
      </c>
      <c r="AD146">
        <f t="shared" si="19"/>
        <v>0</v>
      </c>
      <c r="AE146">
        <f t="shared" si="20"/>
        <v>0</v>
      </c>
      <c r="AF146">
        <f t="shared" si="26"/>
        <v>367742</v>
      </c>
    </row>
    <row r="147" spans="1:32" x14ac:dyDescent="0.35">
      <c r="A147" s="1">
        <v>0</v>
      </c>
      <c r="B147" t="s">
        <v>371</v>
      </c>
      <c r="C147" t="s">
        <v>347</v>
      </c>
      <c r="D147" t="s">
        <v>39</v>
      </c>
      <c r="E147" t="s">
        <v>39</v>
      </c>
      <c r="F147" t="s">
        <v>125</v>
      </c>
      <c r="G147">
        <v>38</v>
      </c>
      <c r="H147" t="s">
        <v>372</v>
      </c>
      <c r="I147">
        <v>0.50709640979766846</v>
      </c>
      <c r="J147">
        <v>0.10409662872552872</v>
      </c>
      <c r="L147">
        <v>0</v>
      </c>
      <c r="O147" t="s">
        <v>125</v>
      </c>
      <c r="P147">
        <v>1</v>
      </c>
      <c r="Q147">
        <v>5000000</v>
      </c>
      <c r="R147">
        <v>5000000</v>
      </c>
      <c r="S147">
        <f t="shared" si="21"/>
        <v>0</v>
      </c>
      <c r="T147">
        <f t="shared" si="22"/>
        <v>0</v>
      </c>
      <c r="U147">
        <f t="shared" si="14"/>
        <v>0</v>
      </c>
      <c r="V147">
        <v>0</v>
      </c>
      <c r="W147">
        <f t="shared" si="15"/>
        <v>0</v>
      </c>
      <c r="X147">
        <f t="shared" si="16"/>
        <v>0</v>
      </c>
      <c r="Y147">
        <f t="shared" si="17"/>
        <v>0</v>
      </c>
      <c r="Z147">
        <f t="shared" si="18"/>
        <v>0</v>
      </c>
      <c r="AA147">
        <f t="shared" si="23"/>
        <v>0</v>
      </c>
      <c r="AB147">
        <f t="shared" si="24"/>
        <v>0</v>
      </c>
      <c r="AC147">
        <f t="shared" si="25"/>
        <v>0</v>
      </c>
      <c r="AD147">
        <f t="shared" si="19"/>
        <v>0</v>
      </c>
      <c r="AE147">
        <f t="shared" si="20"/>
        <v>1</v>
      </c>
      <c r="AF147">
        <f t="shared" si="26"/>
        <v>5000000</v>
      </c>
    </row>
    <row r="148" spans="1:32" x14ac:dyDescent="0.35">
      <c r="A148" s="1">
        <v>0</v>
      </c>
      <c r="B148" t="s">
        <v>682</v>
      </c>
      <c r="C148" t="s">
        <v>9</v>
      </c>
      <c r="D148" t="s">
        <v>33</v>
      </c>
      <c r="E148" t="s">
        <v>33</v>
      </c>
      <c r="F148" t="s">
        <v>129</v>
      </c>
      <c r="G148">
        <v>32</v>
      </c>
      <c r="H148" t="s">
        <v>683</v>
      </c>
      <c r="I148">
        <v>-0.22588562965393066</v>
      </c>
      <c r="J148">
        <v>9.2887513339519501E-2</v>
      </c>
      <c r="L148">
        <v>0</v>
      </c>
      <c r="O148" t="s">
        <v>53</v>
      </c>
      <c r="P148">
        <v>1</v>
      </c>
      <c r="Q148">
        <v>1000000</v>
      </c>
      <c r="R148">
        <v>1000000</v>
      </c>
      <c r="S148">
        <f t="shared" si="21"/>
        <v>0</v>
      </c>
      <c r="T148">
        <f t="shared" si="22"/>
        <v>0</v>
      </c>
      <c r="U148">
        <f t="shared" si="14"/>
        <v>1</v>
      </c>
      <c r="V148">
        <v>0</v>
      </c>
      <c r="W148">
        <f t="shared" si="15"/>
        <v>0</v>
      </c>
      <c r="X148">
        <f t="shared" si="16"/>
        <v>0</v>
      </c>
      <c r="Y148">
        <f t="shared" si="17"/>
        <v>0</v>
      </c>
      <c r="Z148">
        <f t="shared" si="18"/>
        <v>0</v>
      </c>
      <c r="AA148">
        <f t="shared" si="23"/>
        <v>0</v>
      </c>
      <c r="AB148">
        <f t="shared" si="24"/>
        <v>0</v>
      </c>
      <c r="AC148">
        <f t="shared" si="25"/>
        <v>0</v>
      </c>
      <c r="AD148">
        <f t="shared" si="19"/>
        <v>0</v>
      </c>
      <c r="AE148">
        <f t="shared" si="20"/>
        <v>0</v>
      </c>
      <c r="AF148">
        <f t="shared" si="26"/>
        <v>1000000</v>
      </c>
    </row>
    <row r="149" spans="1:32" x14ac:dyDescent="0.35">
      <c r="A149" s="1">
        <v>0</v>
      </c>
      <c r="B149" t="s">
        <v>639</v>
      </c>
      <c r="C149" t="s">
        <v>9</v>
      </c>
      <c r="D149" t="s">
        <v>33</v>
      </c>
      <c r="E149" t="s">
        <v>33</v>
      </c>
      <c r="F149" t="s">
        <v>34</v>
      </c>
      <c r="G149">
        <v>33</v>
      </c>
      <c r="H149" t="s">
        <v>640</v>
      </c>
      <c r="I149">
        <v>-0.13033147156238556</v>
      </c>
      <c r="J149">
        <v>8.9233413338661194E-2</v>
      </c>
      <c r="L149">
        <v>0</v>
      </c>
      <c r="O149" t="s">
        <v>125</v>
      </c>
      <c r="P149">
        <v>1</v>
      </c>
      <c r="Q149">
        <v>1150000</v>
      </c>
      <c r="R149">
        <v>1150000</v>
      </c>
      <c r="S149">
        <f t="shared" si="21"/>
        <v>0</v>
      </c>
      <c r="T149">
        <f t="shared" si="22"/>
        <v>0</v>
      </c>
      <c r="U149">
        <f t="shared" si="14"/>
        <v>1</v>
      </c>
      <c r="V149">
        <v>0</v>
      </c>
      <c r="W149">
        <f t="shared" si="15"/>
        <v>0</v>
      </c>
      <c r="X149">
        <f t="shared" si="16"/>
        <v>0</v>
      </c>
      <c r="Y149">
        <f t="shared" si="17"/>
        <v>0</v>
      </c>
      <c r="Z149">
        <f t="shared" si="18"/>
        <v>0</v>
      </c>
      <c r="AA149">
        <f t="shared" si="23"/>
        <v>0</v>
      </c>
      <c r="AB149">
        <f t="shared" si="24"/>
        <v>0</v>
      </c>
      <c r="AC149">
        <f t="shared" si="25"/>
        <v>0</v>
      </c>
      <c r="AD149">
        <f t="shared" si="19"/>
        <v>0</v>
      </c>
      <c r="AE149">
        <f t="shared" si="20"/>
        <v>0</v>
      </c>
      <c r="AF149">
        <f t="shared" si="26"/>
        <v>1150000</v>
      </c>
    </row>
    <row r="150" spans="1:32" x14ac:dyDescent="0.35">
      <c r="A150" s="1">
        <v>0</v>
      </c>
      <c r="B150" t="s">
        <v>692</v>
      </c>
      <c r="C150" t="s">
        <v>273</v>
      </c>
      <c r="D150" t="s">
        <v>33</v>
      </c>
      <c r="E150" t="s">
        <v>39</v>
      </c>
      <c r="F150" t="s">
        <v>97</v>
      </c>
      <c r="G150">
        <v>34</v>
      </c>
      <c r="H150" t="s">
        <v>693</v>
      </c>
      <c r="I150">
        <v>-0.24523861706256866</v>
      </c>
      <c r="J150">
        <v>8.315015584230423E-2</v>
      </c>
      <c r="L150">
        <v>0</v>
      </c>
      <c r="O150" t="s">
        <v>151</v>
      </c>
      <c r="P150">
        <v>1</v>
      </c>
      <c r="Q150">
        <v>69892</v>
      </c>
      <c r="R150">
        <v>69892</v>
      </c>
      <c r="S150">
        <f t="shared" si="21"/>
        <v>0</v>
      </c>
      <c r="T150">
        <f t="shared" si="22"/>
        <v>0</v>
      </c>
      <c r="U150">
        <f t="shared" si="14"/>
        <v>0</v>
      </c>
      <c r="V150">
        <v>0</v>
      </c>
      <c r="W150">
        <f t="shared" si="15"/>
        <v>0</v>
      </c>
      <c r="X150">
        <f t="shared" si="16"/>
        <v>0</v>
      </c>
      <c r="Y150">
        <f t="shared" si="17"/>
        <v>0</v>
      </c>
      <c r="Z150">
        <f t="shared" si="18"/>
        <v>0</v>
      </c>
      <c r="AA150">
        <f t="shared" si="23"/>
        <v>1</v>
      </c>
      <c r="AB150">
        <f t="shared" si="24"/>
        <v>1</v>
      </c>
      <c r="AC150">
        <f t="shared" si="25"/>
        <v>1</v>
      </c>
      <c r="AD150">
        <f t="shared" si="19"/>
        <v>0</v>
      </c>
      <c r="AE150">
        <f t="shared" si="20"/>
        <v>0</v>
      </c>
      <c r="AF150">
        <f t="shared" si="26"/>
        <v>69892</v>
      </c>
    </row>
    <row r="151" spans="1:32" x14ac:dyDescent="0.35">
      <c r="A151" s="1">
        <v>0</v>
      </c>
      <c r="B151" t="s">
        <v>555</v>
      </c>
      <c r="C151" t="s">
        <v>9</v>
      </c>
      <c r="D151" t="s">
        <v>39</v>
      </c>
      <c r="E151" t="s">
        <v>39</v>
      </c>
      <c r="F151" t="s">
        <v>51</v>
      </c>
      <c r="G151">
        <v>36</v>
      </c>
      <c r="H151" t="s">
        <v>556</v>
      </c>
      <c r="I151">
        <v>4.3525613844394684E-2</v>
      </c>
      <c r="J151">
        <v>7.9020969569683075E-2</v>
      </c>
      <c r="L151">
        <v>0</v>
      </c>
      <c r="O151" t="s">
        <v>48</v>
      </c>
      <c r="P151">
        <v>1</v>
      </c>
      <c r="Q151">
        <v>75269</v>
      </c>
      <c r="R151">
        <v>75269</v>
      </c>
      <c r="S151">
        <f t="shared" si="21"/>
        <v>0</v>
      </c>
      <c r="T151">
        <f t="shared" si="22"/>
        <v>0</v>
      </c>
      <c r="U151">
        <f t="shared" ref="U151:U170" si="27">IF(ISNUMBER(SEARCH("RP", $C151)), 1, 0)</f>
        <v>1</v>
      </c>
      <c r="V151">
        <v>0</v>
      </c>
      <c r="W151">
        <f t="shared" ref="W151:W170" si="28">IF(ISNUMBER(SEARCH("1B", $C151)), 1, 0)</f>
        <v>0</v>
      </c>
      <c r="X151">
        <f t="shared" ref="X151:X170" si="29">IF(ISNUMBER(SEARCH("2B", $C151)), 1, 0)</f>
        <v>0</v>
      </c>
      <c r="Y151">
        <f t="shared" ref="Y151:Y170" si="30">IF(ISNUMBER(SEARCH("SS", $C151)), 1, 0)</f>
        <v>0</v>
      </c>
      <c r="Z151">
        <f t="shared" ref="Z151:Z170" si="31">IF(ISNUMBER(SEARCH("3B", $C151)), 1, 0)</f>
        <v>0</v>
      </c>
      <c r="AA151">
        <f t="shared" si="23"/>
        <v>0</v>
      </c>
      <c r="AB151">
        <f t="shared" si="24"/>
        <v>0</v>
      </c>
      <c r="AC151">
        <f t="shared" si="25"/>
        <v>0</v>
      </c>
      <c r="AD151">
        <f t="shared" ref="AD151:AD170" si="32">IF(ISNUMBER(SEARCH("OF", $C151)), 1, 0)</f>
        <v>0</v>
      </c>
      <c r="AE151">
        <f t="shared" ref="AE151:AE170" si="33">IF(ISNUMBER(SEARCH("DH", $C151)), 1, 0)</f>
        <v>0</v>
      </c>
      <c r="AF151">
        <f t="shared" si="26"/>
        <v>75269</v>
      </c>
    </row>
    <row r="152" spans="1:32" x14ac:dyDescent="0.35">
      <c r="A152" s="1">
        <v>0</v>
      </c>
      <c r="B152" t="s">
        <v>776</v>
      </c>
      <c r="C152" t="s">
        <v>364</v>
      </c>
      <c r="D152" t="s">
        <v>33</v>
      </c>
      <c r="E152" t="s">
        <v>33</v>
      </c>
      <c r="F152" t="s">
        <v>151</v>
      </c>
      <c r="G152">
        <v>29</v>
      </c>
      <c r="H152" t="s">
        <v>777</v>
      </c>
      <c r="I152">
        <v>-0.82241135835647583</v>
      </c>
      <c r="J152">
        <v>7.8812338411808014E-2</v>
      </c>
      <c r="L152">
        <v>0</v>
      </c>
      <c r="O152" t="s">
        <v>46</v>
      </c>
      <c r="P152">
        <v>1</v>
      </c>
      <c r="Q152">
        <v>1600000</v>
      </c>
      <c r="R152">
        <v>1600000</v>
      </c>
      <c r="S152">
        <f t="shared" ref="S152:S170" si="34">IF(N152&gt;0, 1, 0)</f>
        <v>0</v>
      </c>
      <c r="T152">
        <f t="shared" ref="T152:T170" si="35">IF(ISNUMBER(SEARCH("SP", $C152)), 1, 0)</f>
        <v>0</v>
      </c>
      <c r="U152">
        <f t="shared" si="27"/>
        <v>0</v>
      </c>
      <c r="V152">
        <v>0</v>
      </c>
      <c r="W152">
        <f t="shared" si="28"/>
        <v>1</v>
      </c>
      <c r="X152">
        <f t="shared" si="29"/>
        <v>0</v>
      </c>
      <c r="Y152">
        <f t="shared" si="30"/>
        <v>0</v>
      </c>
      <c r="Z152">
        <f t="shared" si="31"/>
        <v>0</v>
      </c>
      <c r="AA152">
        <f t="shared" ref="AA152:AA170" si="36">IF($AD152=1, 1, IF(ISNUMBER(SEARCH("LF", $C152)), 1, 0))</f>
        <v>1</v>
      </c>
      <c r="AB152">
        <f t="shared" ref="AB152:AB170" si="37">IF($AD152=1, 1, IF(ISNUMBER(SEARCH("CF", $C152)), 1, 0))</f>
        <v>0</v>
      </c>
      <c r="AC152">
        <f t="shared" ref="AC152:AC170" si="38">IF($AD152=1, 1, IF(ISNUMBER(SEARCH("RF", $C152)), 1, 0))</f>
        <v>1</v>
      </c>
      <c r="AD152">
        <f t="shared" si="32"/>
        <v>0</v>
      </c>
      <c r="AE152">
        <f t="shared" si="33"/>
        <v>0</v>
      </c>
      <c r="AF152">
        <f t="shared" si="26"/>
        <v>1600000</v>
      </c>
    </row>
    <row r="153" spans="1:32" x14ac:dyDescent="0.35">
      <c r="A153" s="1">
        <v>0</v>
      </c>
      <c r="B153" t="s">
        <v>821</v>
      </c>
      <c r="C153" t="s">
        <v>9</v>
      </c>
      <c r="D153" t="s">
        <v>39</v>
      </c>
      <c r="E153" t="s">
        <v>39</v>
      </c>
      <c r="F153" t="s">
        <v>51</v>
      </c>
      <c r="G153">
        <v>34</v>
      </c>
      <c r="H153" t="s">
        <v>822</v>
      </c>
      <c r="J153">
        <v>7.1345821022987366E-2</v>
      </c>
      <c r="L153">
        <v>0</v>
      </c>
      <c r="O153" t="s">
        <v>58</v>
      </c>
      <c r="P153">
        <v>1</v>
      </c>
      <c r="Q153">
        <v>1350000</v>
      </c>
      <c r="R153">
        <v>1350000</v>
      </c>
      <c r="S153">
        <f t="shared" si="34"/>
        <v>0</v>
      </c>
      <c r="T153">
        <f t="shared" si="35"/>
        <v>0</v>
      </c>
      <c r="U153">
        <f t="shared" si="27"/>
        <v>1</v>
      </c>
      <c r="V153">
        <v>0</v>
      </c>
      <c r="W153">
        <f t="shared" si="28"/>
        <v>0</v>
      </c>
      <c r="X153">
        <f t="shared" si="29"/>
        <v>0</v>
      </c>
      <c r="Y153">
        <f t="shared" si="30"/>
        <v>0</v>
      </c>
      <c r="Z153">
        <f t="shared" si="31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2"/>
        <v>0</v>
      </c>
      <c r="AE153">
        <f t="shared" si="33"/>
        <v>0</v>
      </c>
      <c r="AF153">
        <f t="shared" si="26"/>
        <v>1350000</v>
      </c>
    </row>
    <row r="154" spans="1:32" x14ac:dyDescent="0.35">
      <c r="A154" s="1">
        <v>0</v>
      </c>
      <c r="B154" t="s">
        <v>444</v>
      </c>
      <c r="C154" t="s">
        <v>9</v>
      </c>
      <c r="D154" t="s">
        <v>33</v>
      </c>
      <c r="E154" t="s">
        <v>33</v>
      </c>
      <c r="F154" t="s">
        <v>36</v>
      </c>
      <c r="G154">
        <v>37</v>
      </c>
      <c r="H154" t="s">
        <v>445</v>
      </c>
      <c r="I154">
        <v>0.30086380243301392</v>
      </c>
      <c r="J154">
        <v>6.8564809858798981E-2</v>
      </c>
      <c r="K154">
        <v>1</v>
      </c>
      <c r="L154">
        <v>4000000</v>
      </c>
      <c r="M154">
        <v>4000000</v>
      </c>
      <c r="O154" t="s">
        <v>36</v>
      </c>
      <c r="P154">
        <v>1</v>
      </c>
      <c r="Q154">
        <v>1850000</v>
      </c>
      <c r="R154">
        <v>1850000</v>
      </c>
      <c r="S154">
        <f t="shared" si="34"/>
        <v>0</v>
      </c>
      <c r="T154">
        <f t="shared" si="35"/>
        <v>0</v>
      </c>
      <c r="U154">
        <f t="shared" si="27"/>
        <v>1</v>
      </c>
      <c r="V154">
        <v>0</v>
      </c>
      <c r="W154">
        <f t="shared" si="28"/>
        <v>0</v>
      </c>
      <c r="X154">
        <f t="shared" si="29"/>
        <v>0</v>
      </c>
      <c r="Y154">
        <f t="shared" si="30"/>
        <v>0</v>
      </c>
      <c r="Z154">
        <f t="shared" si="31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2"/>
        <v>0</v>
      </c>
      <c r="AE154">
        <f t="shared" si="33"/>
        <v>0</v>
      </c>
      <c r="AF154">
        <f t="shared" si="26"/>
        <v>4000000</v>
      </c>
    </row>
    <row r="155" spans="1:32" x14ac:dyDescent="0.35">
      <c r="A155" s="1">
        <v>0</v>
      </c>
      <c r="B155" t="s">
        <v>764</v>
      </c>
      <c r="C155" t="s">
        <v>3</v>
      </c>
      <c r="D155" t="s">
        <v>39</v>
      </c>
      <c r="E155" t="s">
        <v>39</v>
      </c>
      <c r="F155" t="s">
        <v>70</v>
      </c>
      <c r="G155">
        <v>34</v>
      </c>
      <c r="H155" t="s">
        <v>765</v>
      </c>
      <c r="I155">
        <v>-0.69027155637741089</v>
      </c>
      <c r="J155">
        <v>6.6669568419456482E-2</v>
      </c>
      <c r="L155">
        <v>0</v>
      </c>
      <c r="O155" t="s">
        <v>81</v>
      </c>
      <c r="P155">
        <v>1</v>
      </c>
      <c r="Q155">
        <v>1182796</v>
      </c>
      <c r="R155">
        <v>1182796</v>
      </c>
      <c r="S155">
        <f t="shared" si="34"/>
        <v>0</v>
      </c>
      <c r="T155">
        <f t="shared" si="35"/>
        <v>0</v>
      </c>
      <c r="U155">
        <f t="shared" si="27"/>
        <v>0</v>
      </c>
      <c r="V155">
        <v>1</v>
      </c>
      <c r="W155">
        <f t="shared" si="28"/>
        <v>0</v>
      </c>
      <c r="X155">
        <f t="shared" si="29"/>
        <v>0</v>
      </c>
      <c r="Y155">
        <f t="shared" si="30"/>
        <v>0</v>
      </c>
      <c r="Z155">
        <f t="shared" si="31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2"/>
        <v>0</v>
      </c>
      <c r="AE155">
        <f t="shared" si="33"/>
        <v>0</v>
      </c>
      <c r="AF155">
        <f t="shared" si="26"/>
        <v>1182796</v>
      </c>
    </row>
    <row r="156" spans="1:32" x14ac:dyDescent="0.35">
      <c r="A156" s="1">
        <v>0</v>
      </c>
      <c r="B156" t="s">
        <v>538</v>
      </c>
      <c r="C156" t="s">
        <v>9</v>
      </c>
      <c r="D156" t="s">
        <v>39</v>
      </c>
      <c r="E156" t="s">
        <v>39</v>
      </c>
      <c r="F156" t="s">
        <v>36</v>
      </c>
      <c r="G156">
        <v>32</v>
      </c>
      <c r="H156" t="s">
        <v>539</v>
      </c>
      <c r="I156">
        <v>0.10687315464019775</v>
      </c>
      <c r="J156">
        <v>6.5068893134593964E-2</v>
      </c>
      <c r="L156">
        <v>0</v>
      </c>
      <c r="O156" t="s">
        <v>184</v>
      </c>
      <c r="P156">
        <v>1</v>
      </c>
      <c r="Q156">
        <v>2000000</v>
      </c>
      <c r="R156">
        <v>2000000</v>
      </c>
      <c r="S156">
        <f t="shared" si="34"/>
        <v>0</v>
      </c>
      <c r="T156">
        <f t="shared" si="35"/>
        <v>0</v>
      </c>
      <c r="U156">
        <f t="shared" si="27"/>
        <v>1</v>
      </c>
      <c r="V156">
        <v>0</v>
      </c>
      <c r="W156">
        <f t="shared" si="28"/>
        <v>0</v>
      </c>
      <c r="X156">
        <f t="shared" si="29"/>
        <v>0</v>
      </c>
      <c r="Y156">
        <f t="shared" si="30"/>
        <v>0</v>
      </c>
      <c r="Z156">
        <f t="shared" si="31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2"/>
        <v>0</v>
      </c>
      <c r="AE156">
        <f t="shared" si="33"/>
        <v>0</v>
      </c>
      <c r="AF156">
        <f t="shared" si="26"/>
        <v>2000000</v>
      </c>
    </row>
    <row r="157" spans="1:32" x14ac:dyDescent="0.35">
      <c r="A157" s="1">
        <v>0</v>
      </c>
      <c r="B157" t="s">
        <v>824</v>
      </c>
      <c r="C157" t="s">
        <v>10</v>
      </c>
      <c r="D157" t="s">
        <v>33</v>
      </c>
      <c r="E157" t="s">
        <v>33</v>
      </c>
      <c r="F157" t="s">
        <v>825</v>
      </c>
      <c r="G157">
        <v>32</v>
      </c>
      <c r="H157" t="s">
        <v>826</v>
      </c>
      <c r="J157">
        <v>6.3840761780738831E-2</v>
      </c>
      <c r="K157">
        <v>2</v>
      </c>
      <c r="L157">
        <v>14500000</v>
      </c>
      <c r="M157">
        <v>7250000</v>
      </c>
      <c r="O157" t="s">
        <v>46</v>
      </c>
      <c r="P157">
        <v>1</v>
      </c>
      <c r="Q157">
        <v>1500000</v>
      </c>
      <c r="R157">
        <v>1500000</v>
      </c>
      <c r="S157">
        <f t="shared" si="34"/>
        <v>0</v>
      </c>
      <c r="T157">
        <f t="shared" si="35"/>
        <v>1</v>
      </c>
      <c r="U157">
        <f t="shared" si="27"/>
        <v>0</v>
      </c>
      <c r="V157">
        <v>0</v>
      </c>
      <c r="W157">
        <f t="shared" si="28"/>
        <v>0</v>
      </c>
      <c r="X157">
        <f t="shared" si="29"/>
        <v>0</v>
      </c>
      <c r="Y157">
        <f t="shared" si="30"/>
        <v>0</v>
      </c>
      <c r="Z157">
        <f t="shared" si="31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2"/>
        <v>0</v>
      </c>
      <c r="AE157">
        <f t="shared" si="33"/>
        <v>0</v>
      </c>
      <c r="AF157">
        <f t="shared" si="26"/>
        <v>7250000</v>
      </c>
    </row>
    <row r="158" spans="1:32" x14ac:dyDescent="0.35">
      <c r="A158" s="1">
        <v>0</v>
      </c>
      <c r="B158" t="s">
        <v>794</v>
      </c>
      <c r="C158" t="s">
        <v>273</v>
      </c>
      <c r="D158" t="s">
        <v>39</v>
      </c>
      <c r="E158" t="s">
        <v>39</v>
      </c>
      <c r="F158" t="s">
        <v>125</v>
      </c>
      <c r="G158">
        <v>28</v>
      </c>
      <c r="H158" t="s">
        <v>795</v>
      </c>
      <c r="I158">
        <v>-1.0844602584838867</v>
      </c>
      <c r="J158">
        <v>6.0694601386785507E-2</v>
      </c>
      <c r="L158">
        <v>0</v>
      </c>
      <c r="O158" t="s">
        <v>48</v>
      </c>
      <c r="P158">
        <v>1</v>
      </c>
      <c r="Q158">
        <v>860000</v>
      </c>
      <c r="R158">
        <v>860000</v>
      </c>
      <c r="S158">
        <f t="shared" si="34"/>
        <v>0</v>
      </c>
      <c r="T158">
        <f t="shared" si="35"/>
        <v>0</v>
      </c>
      <c r="U158">
        <f t="shared" si="27"/>
        <v>0</v>
      </c>
      <c r="V158">
        <v>0</v>
      </c>
      <c r="W158">
        <f t="shared" si="28"/>
        <v>0</v>
      </c>
      <c r="X158">
        <f t="shared" si="29"/>
        <v>0</v>
      </c>
      <c r="Y158">
        <f t="shared" si="30"/>
        <v>0</v>
      </c>
      <c r="Z158">
        <f t="shared" si="31"/>
        <v>0</v>
      </c>
      <c r="AA158">
        <f t="shared" si="36"/>
        <v>1</v>
      </c>
      <c r="AB158">
        <f t="shared" si="37"/>
        <v>1</v>
      </c>
      <c r="AC158">
        <f t="shared" si="38"/>
        <v>1</v>
      </c>
      <c r="AD158">
        <f t="shared" si="32"/>
        <v>0</v>
      </c>
      <c r="AE158">
        <f t="shared" si="33"/>
        <v>0</v>
      </c>
      <c r="AF158">
        <f t="shared" si="26"/>
        <v>860000</v>
      </c>
    </row>
    <row r="159" spans="1:32" x14ac:dyDescent="0.35">
      <c r="A159" s="1">
        <v>0</v>
      </c>
      <c r="B159" t="s">
        <v>689</v>
      </c>
      <c r="C159" t="s">
        <v>9</v>
      </c>
      <c r="D159" t="s">
        <v>33</v>
      </c>
      <c r="E159" t="s">
        <v>33</v>
      </c>
      <c r="F159" t="s">
        <v>100</v>
      </c>
      <c r="G159">
        <v>33</v>
      </c>
      <c r="H159" t="s">
        <v>690</v>
      </c>
      <c r="I159">
        <v>-0.2403220534324646</v>
      </c>
      <c r="J159">
        <v>5.2799146622419357E-2</v>
      </c>
      <c r="L159">
        <v>0</v>
      </c>
      <c r="O159" t="s">
        <v>51</v>
      </c>
      <c r="P159">
        <v>1</v>
      </c>
      <c r="Q159">
        <v>1200000</v>
      </c>
      <c r="R159">
        <v>1200000</v>
      </c>
      <c r="S159">
        <f t="shared" si="34"/>
        <v>0</v>
      </c>
      <c r="T159">
        <f t="shared" si="35"/>
        <v>0</v>
      </c>
      <c r="U159">
        <f t="shared" si="27"/>
        <v>1</v>
      </c>
      <c r="V159">
        <v>0</v>
      </c>
      <c r="W159">
        <f t="shared" si="28"/>
        <v>0</v>
      </c>
      <c r="X159">
        <f t="shared" si="29"/>
        <v>0</v>
      </c>
      <c r="Y159">
        <f t="shared" si="30"/>
        <v>0</v>
      </c>
      <c r="Z159">
        <f t="shared" si="31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2"/>
        <v>0</v>
      </c>
      <c r="AE159">
        <f t="shared" si="33"/>
        <v>0</v>
      </c>
      <c r="AF159">
        <f t="shared" si="26"/>
        <v>1200000</v>
      </c>
    </row>
    <row r="160" spans="1:32" x14ac:dyDescent="0.35">
      <c r="A160" s="1">
        <v>0</v>
      </c>
      <c r="B160" t="s">
        <v>346</v>
      </c>
      <c r="C160" t="s">
        <v>347</v>
      </c>
      <c r="D160" t="s">
        <v>39</v>
      </c>
      <c r="E160" t="s">
        <v>39</v>
      </c>
      <c r="F160" t="s">
        <v>36</v>
      </c>
      <c r="G160">
        <v>37</v>
      </c>
      <c r="H160" t="s">
        <v>348</v>
      </c>
      <c r="I160">
        <v>0.5915982723236084</v>
      </c>
      <c r="J160">
        <v>5.1865734159946442E-2</v>
      </c>
      <c r="K160">
        <v>1</v>
      </c>
      <c r="L160">
        <v>9000000</v>
      </c>
      <c r="M160">
        <v>9000000</v>
      </c>
      <c r="S160">
        <f t="shared" si="34"/>
        <v>0</v>
      </c>
      <c r="T160">
        <f t="shared" si="35"/>
        <v>0</v>
      </c>
      <c r="U160">
        <f t="shared" si="27"/>
        <v>0</v>
      </c>
      <c r="V160">
        <v>0</v>
      </c>
      <c r="W160">
        <f t="shared" si="28"/>
        <v>0</v>
      </c>
      <c r="X160">
        <f t="shared" si="29"/>
        <v>0</v>
      </c>
      <c r="Y160">
        <f t="shared" si="30"/>
        <v>0</v>
      </c>
      <c r="Z160">
        <f t="shared" si="31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2"/>
        <v>0</v>
      </c>
      <c r="AE160">
        <f t="shared" si="33"/>
        <v>1</v>
      </c>
      <c r="AF160">
        <f t="shared" si="26"/>
        <v>9000000</v>
      </c>
    </row>
    <row r="161" spans="1:32" x14ac:dyDescent="0.35">
      <c r="A161" s="1">
        <v>0</v>
      </c>
      <c r="B161" t="s">
        <v>753</v>
      </c>
      <c r="C161" t="s">
        <v>10</v>
      </c>
      <c r="D161" t="s">
        <v>39</v>
      </c>
      <c r="E161" t="s">
        <v>33</v>
      </c>
      <c r="F161" t="s">
        <v>110</v>
      </c>
      <c r="G161">
        <v>30</v>
      </c>
      <c r="H161" t="s">
        <v>728</v>
      </c>
      <c r="I161">
        <v>-0.56611722707748413</v>
      </c>
      <c r="J161">
        <v>4.6464964747428894E-2</v>
      </c>
      <c r="L161">
        <v>0</v>
      </c>
      <c r="O161" t="s">
        <v>40</v>
      </c>
      <c r="P161">
        <v>1</v>
      </c>
      <c r="Q161">
        <v>1000000</v>
      </c>
      <c r="R161">
        <v>1000000</v>
      </c>
      <c r="S161">
        <f t="shared" si="34"/>
        <v>0</v>
      </c>
      <c r="T161">
        <f t="shared" si="35"/>
        <v>1</v>
      </c>
      <c r="U161">
        <f t="shared" si="27"/>
        <v>0</v>
      </c>
      <c r="V161">
        <v>0</v>
      </c>
      <c r="W161">
        <f t="shared" si="28"/>
        <v>0</v>
      </c>
      <c r="X161">
        <f t="shared" si="29"/>
        <v>0</v>
      </c>
      <c r="Y161">
        <f t="shared" si="30"/>
        <v>0</v>
      </c>
      <c r="Z161">
        <f t="shared" si="31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2"/>
        <v>0</v>
      </c>
      <c r="AE161">
        <f t="shared" si="33"/>
        <v>0</v>
      </c>
      <c r="AF161">
        <f t="shared" si="26"/>
        <v>1000000</v>
      </c>
    </row>
    <row r="162" spans="1:32" x14ac:dyDescent="0.35">
      <c r="A162" s="1">
        <v>0</v>
      </c>
      <c r="B162" t="s">
        <v>753</v>
      </c>
      <c r="C162" t="s">
        <v>10</v>
      </c>
      <c r="D162" t="s">
        <v>39</v>
      </c>
      <c r="E162" t="s">
        <v>33</v>
      </c>
      <c r="F162" t="s">
        <v>110</v>
      </c>
      <c r="G162">
        <v>30</v>
      </c>
      <c r="H162" t="s">
        <v>728</v>
      </c>
      <c r="I162">
        <v>-0.56611722707748413</v>
      </c>
      <c r="J162">
        <v>4.6464964747428894E-2</v>
      </c>
      <c r="L162">
        <v>0</v>
      </c>
      <c r="O162" t="s">
        <v>151</v>
      </c>
      <c r="P162">
        <v>1</v>
      </c>
      <c r="Q162">
        <v>461720</v>
      </c>
      <c r="R162">
        <v>461720</v>
      </c>
      <c r="S162">
        <f t="shared" si="34"/>
        <v>0</v>
      </c>
      <c r="T162">
        <f t="shared" si="35"/>
        <v>1</v>
      </c>
      <c r="U162">
        <f t="shared" si="27"/>
        <v>0</v>
      </c>
      <c r="V162">
        <v>0</v>
      </c>
      <c r="W162">
        <f t="shared" si="28"/>
        <v>0</v>
      </c>
      <c r="X162">
        <f t="shared" si="29"/>
        <v>0</v>
      </c>
      <c r="Y162">
        <f t="shared" si="30"/>
        <v>0</v>
      </c>
      <c r="Z162">
        <f t="shared" si="31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2"/>
        <v>0</v>
      </c>
      <c r="AE162">
        <f t="shared" si="33"/>
        <v>0</v>
      </c>
      <c r="AF162">
        <f t="shared" si="26"/>
        <v>461720</v>
      </c>
    </row>
    <row r="163" spans="1:32" x14ac:dyDescent="0.35">
      <c r="A163" s="1">
        <v>0</v>
      </c>
      <c r="B163" t="s">
        <v>642</v>
      </c>
      <c r="C163" t="s">
        <v>10</v>
      </c>
      <c r="D163" t="s">
        <v>39</v>
      </c>
      <c r="E163" t="s">
        <v>39</v>
      </c>
      <c r="F163" t="s">
        <v>36</v>
      </c>
      <c r="G163">
        <v>32</v>
      </c>
      <c r="H163" t="s">
        <v>643</v>
      </c>
      <c r="I163">
        <v>-0.14314869046211243</v>
      </c>
      <c r="J163">
        <v>4.3546851724386215E-2</v>
      </c>
      <c r="L163">
        <v>0</v>
      </c>
      <c r="O163" t="s">
        <v>151</v>
      </c>
      <c r="P163">
        <v>1</v>
      </c>
      <c r="Q163">
        <v>958065</v>
      </c>
      <c r="R163">
        <v>958065</v>
      </c>
      <c r="S163">
        <f t="shared" si="34"/>
        <v>0</v>
      </c>
      <c r="T163">
        <f t="shared" si="35"/>
        <v>1</v>
      </c>
      <c r="U163">
        <f t="shared" si="27"/>
        <v>0</v>
      </c>
      <c r="V163">
        <v>0</v>
      </c>
      <c r="W163">
        <f t="shared" si="28"/>
        <v>0</v>
      </c>
      <c r="X163">
        <f t="shared" si="29"/>
        <v>0</v>
      </c>
      <c r="Y163">
        <f t="shared" si="30"/>
        <v>0</v>
      </c>
      <c r="Z163">
        <f t="shared" si="31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2"/>
        <v>0</v>
      </c>
      <c r="AE163">
        <f t="shared" si="33"/>
        <v>0</v>
      </c>
      <c r="AF163">
        <f t="shared" si="26"/>
        <v>958065</v>
      </c>
    </row>
    <row r="164" spans="1:32" x14ac:dyDescent="0.35">
      <c r="A164" s="1">
        <v>0</v>
      </c>
      <c r="B164" t="s">
        <v>318</v>
      </c>
      <c r="C164" t="s">
        <v>9</v>
      </c>
      <c r="D164" t="s">
        <v>39</v>
      </c>
      <c r="E164" t="s">
        <v>39</v>
      </c>
      <c r="F164" t="s">
        <v>56</v>
      </c>
      <c r="G164">
        <v>31</v>
      </c>
      <c r="H164" t="s">
        <v>319</v>
      </c>
      <c r="I164">
        <v>0.6643909215927124</v>
      </c>
      <c r="J164">
        <v>3.1041212379932404E-2</v>
      </c>
      <c r="L164">
        <v>0</v>
      </c>
      <c r="O164" t="s">
        <v>97</v>
      </c>
      <c r="P164">
        <v>1</v>
      </c>
      <c r="Q164">
        <v>1250000</v>
      </c>
      <c r="R164">
        <v>1250000</v>
      </c>
      <c r="S164">
        <f t="shared" si="34"/>
        <v>0</v>
      </c>
      <c r="T164">
        <f t="shared" si="35"/>
        <v>0</v>
      </c>
      <c r="U164">
        <f t="shared" si="27"/>
        <v>1</v>
      </c>
      <c r="V164">
        <v>0</v>
      </c>
      <c r="W164">
        <f t="shared" si="28"/>
        <v>0</v>
      </c>
      <c r="X164">
        <f t="shared" si="29"/>
        <v>0</v>
      </c>
      <c r="Y164">
        <f t="shared" si="30"/>
        <v>0</v>
      </c>
      <c r="Z164">
        <f t="shared" si="31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2"/>
        <v>0</v>
      </c>
      <c r="AE164">
        <f t="shared" si="33"/>
        <v>0</v>
      </c>
      <c r="AF164">
        <f t="shared" si="26"/>
        <v>1250000</v>
      </c>
    </row>
    <row r="165" spans="1:32" x14ac:dyDescent="0.35">
      <c r="A165" s="1">
        <v>0</v>
      </c>
      <c r="B165" t="s">
        <v>636</v>
      </c>
      <c r="C165" t="s">
        <v>10</v>
      </c>
      <c r="D165" t="s">
        <v>39</v>
      </c>
      <c r="E165" t="s">
        <v>39</v>
      </c>
      <c r="F165" t="s">
        <v>151</v>
      </c>
      <c r="G165">
        <v>34</v>
      </c>
      <c r="H165" t="s">
        <v>637</v>
      </c>
      <c r="I165">
        <v>-0.12141888588666916</v>
      </c>
      <c r="J165">
        <v>2.2805720567703247E-2</v>
      </c>
      <c r="L165">
        <v>0</v>
      </c>
      <c r="O165" t="s">
        <v>151</v>
      </c>
      <c r="P165">
        <v>1</v>
      </c>
      <c r="Q165">
        <v>185484</v>
      </c>
      <c r="R165">
        <v>185484</v>
      </c>
      <c r="S165">
        <f t="shared" si="34"/>
        <v>0</v>
      </c>
      <c r="T165">
        <f t="shared" si="35"/>
        <v>1</v>
      </c>
      <c r="U165">
        <f t="shared" si="27"/>
        <v>0</v>
      </c>
      <c r="V165">
        <v>0</v>
      </c>
      <c r="W165">
        <f t="shared" si="28"/>
        <v>0</v>
      </c>
      <c r="X165">
        <f t="shared" si="29"/>
        <v>0</v>
      </c>
      <c r="Y165">
        <f t="shared" si="30"/>
        <v>0</v>
      </c>
      <c r="Z165">
        <f t="shared" si="31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2"/>
        <v>0</v>
      </c>
      <c r="AE165">
        <f t="shared" si="33"/>
        <v>0</v>
      </c>
      <c r="AF165">
        <f t="shared" si="26"/>
        <v>185484</v>
      </c>
    </row>
    <row r="166" spans="1:32" x14ac:dyDescent="0.35">
      <c r="A166" s="1">
        <v>0</v>
      </c>
      <c r="B166" t="s">
        <v>791</v>
      </c>
      <c r="C166" t="s">
        <v>32</v>
      </c>
      <c r="D166" t="s">
        <v>39</v>
      </c>
      <c r="E166" t="s">
        <v>39</v>
      </c>
      <c r="F166" t="s">
        <v>48</v>
      </c>
      <c r="G166">
        <v>36</v>
      </c>
      <c r="H166" t="s">
        <v>792</v>
      </c>
      <c r="I166">
        <v>-1.0200787782669067</v>
      </c>
      <c r="J166">
        <v>1.7001070082187653E-2</v>
      </c>
      <c r="K166">
        <v>1</v>
      </c>
      <c r="L166">
        <v>3000000</v>
      </c>
      <c r="M166">
        <v>3000000</v>
      </c>
      <c r="S166">
        <f t="shared" si="34"/>
        <v>0</v>
      </c>
      <c r="T166">
        <f t="shared" si="35"/>
        <v>0</v>
      </c>
      <c r="U166">
        <f t="shared" si="27"/>
        <v>0</v>
      </c>
      <c r="V166">
        <v>0</v>
      </c>
      <c r="W166">
        <f t="shared" si="28"/>
        <v>0</v>
      </c>
      <c r="X166">
        <f t="shared" si="29"/>
        <v>0</v>
      </c>
      <c r="Y166">
        <f t="shared" si="30"/>
        <v>0</v>
      </c>
      <c r="Z166">
        <f t="shared" si="31"/>
        <v>0</v>
      </c>
      <c r="AA166">
        <f t="shared" si="36"/>
        <v>1</v>
      </c>
      <c r="AB166">
        <f t="shared" si="37"/>
        <v>0</v>
      </c>
      <c r="AC166">
        <f t="shared" si="38"/>
        <v>1</v>
      </c>
      <c r="AD166">
        <f t="shared" si="32"/>
        <v>0</v>
      </c>
      <c r="AE166">
        <f t="shared" si="33"/>
        <v>0</v>
      </c>
      <c r="AF166">
        <f t="shared" si="26"/>
        <v>3000000</v>
      </c>
    </row>
    <row r="167" spans="1:32" x14ac:dyDescent="0.35">
      <c r="A167" s="1">
        <v>0</v>
      </c>
      <c r="B167" t="s">
        <v>465</v>
      </c>
      <c r="C167" t="s">
        <v>9</v>
      </c>
      <c r="D167" t="s">
        <v>39</v>
      </c>
      <c r="E167" t="s">
        <v>39</v>
      </c>
      <c r="F167" t="s">
        <v>86</v>
      </c>
      <c r="G167">
        <v>31</v>
      </c>
      <c r="H167" t="s">
        <v>466</v>
      </c>
      <c r="I167">
        <v>0.22867357730865479</v>
      </c>
      <c r="J167">
        <v>1.5004253014922142E-2</v>
      </c>
      <c r="L167">
        <v>0</v>
      </c>
      <c r="O167" t="s">
        <v>86</v>
      </c>
      <c r="P167">
        <v>1</v>
      </c>
      <c r="Q167">
        <v>1400000</v>
      </c>
      <c r="R167">
        <v>1400000</v>
      </c>
      <c r="S167">
        <f t="shared" si="34"/>
        <v>0</v>
      </c>
      <c r="T167">
        <f t="shared" si="35"/>
        <v>0</v>
      </c>
      <c r="U167">
        <f t="shared" si="27"/>
        <v>1</v>
      </c>
      <c r="V167">
        <v>0</v>
      </c>
      <c r="W167">
        <f t="shared" si="28"/>
        <v>0</v>
      </c>
      <c r="X167">
        <f t="shared" si="29"/>
        <v>0</v>
      </c>
      <c r="Y167">
        <f t="shared" si="30"/>
        <v>0</v>
      </c>
      <c r="Z167">
        <f t="shared" si="31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2"/>
        <v>0</v>
      </c>
      <c r="AE167">
        <f t="shared" si="33"/>
        <v>0</v>
      </c>
      <c r="AF167">
        <f t="shared" si="26"/>
        <v>1400000</v>
      </c>
    </row>
    <row r="168" spans="1:32" x14ac:dyDescent="0.35">
      <c r="A168" s="1">
        <v>0</v>
      </c>
      <c r="B168" t="s">
        <v>203</v>
      </c>
      <c r="C168" t="s">
        <v>10</v>
      </c>
      <c r="D168" t="s">
        <v>39</v>
      </c>
      <c r="E168" t="s">
        <v>39</v>
      </c>
      <c r="F168" t="s">
        <v>151</v>
      </c>
      <c r="G168">
        <v>30</v>
      </c>
      <c r="H168" t="s">
        <v>204</v>
      </c>
      <c r="I168">
        <v>1.3038595914840698</v>
      </c>
      <c r="J168">
        <v>1.2986434623599052E-2</v>
      </c>
      <c r="L168">
        <v>0</v>
      </c>
      <c r="O168" t="s">
        <v>104</v>
      </c>
      <c r="P168">
        <v>1</v>
      </c>
      <c r="Q168">
        <v>1225806</v>
      </c>
      <c r="R168">
        <v>1225806</v>
      </c>
      <c r="S168">
        <f t="shared" si="34"/>
        <v>0</v>
      </c>
      <c r="T168">
        <f t="shared" si="35"/>
        <v>1</v>
      </c>
      <c r="U168">
        <f t="shared" si="27"/>
        <v>0</v>
      </c>
      <c r="V168">
        <v>0</v>
      </c>
      <c r="W168">
        <f t="shared" si="28"/>
        <v>0</v>
      </c>
      <c r="X168">
        <f t="shared" si="29"/>
        <v>0</v>
      </c>
      <c r="Y168">
        <f t="shared" si="30"/>
        <v>0</v>
      </c>
      <c r="Z168">
        <f t="shared" si="31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2"/>
        <v>0</v>
      </c>
      <c r="AE168">
        <f t="shared" si="33"/>
        <v>0</v>
      </c>
      <c r="AF168">
        <f t="shared" si="26"/>
        <v>1225806</v>
      </c>
    </row>
    <row r="169" spans="1:32" x14ac:dyDescent="0.35">
      <c r="A169" s="1">
        <v>0</v>
      </c>
      <c r="B169" t="s">
        <v>833</v>
      </c>
      <c r="C169" t="s">
        <v>9</v>
      </c>
      <c r="D169" t="s">
        <v>39</v>
      </c>
      <c r="E169" t="s">
        <v>39</v>
      </c>
      <c r="F169" t="s">
        <v>34</v>
      </c>
      <c r="G169">
        <v>33</v>
      </c>
      <c r="H169" t="s">
        <v>834</v>
      </c>
      <c r="J169">
        <v>9.6611501649022102E-3</v>
      </c>
      <c r="L169">
        <v>0</v>
      </c>
      <c r="O169" t="s">
        <v>42</v>
      </c>
      <c r="P169">
        <v>1</v>
      </c>
      <c r="Q169">
        <v>354839</v>
      </c>
      <c r="R169">
        <v>354839</v>
      </c>
      <c r="S169">
        <f t="shared" si="34"/>
        <v>0</v>
      </c>
      <c r="T169">
        <f t="shared" si="35"/>
        <v>0</v>
      </c>
      <c r="U169">
        <f t="shared" si="27"/>
        <v>1</v>
      </c>
      <c r="V169">
        <v>0</v>
      </c>
      <c r="W169">
        <f t="shared" si="28"/>
        <v>0</v>
      </c>
      <c r="X169">
        <f t="shared" si="29"/>
        <v>0</v>
      </c>
      <c r="Y169">
        <f t="shared" si="30"/>
        <v>0</v>
      </c>
      <c r="Z169">
        <f t="shared" si="31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2"/>
        <v>0</v>
      </c>
      <c r="AE169">
        <f t="shared" si="33"/>
        <v>0</v>
      </c>
      <c r="AF169">
        <f t="shared" si="26"/>
        <v>354839</v>
      </c>
    </row>
    <row r="170" spans="1:32" x14ac:dyDescent="0.35">
      <c r="A170" s="1">
        <v>0</v>
      </c>
      <c r="B170" t="s">
        <v>468</v>
      </c>
      <c r="C170" t="s">
        <v>9</v>
      </c>
      <c r="D170" t="s">
        <v>39</v>
      </c>
      <c r="E170" t="s">
        <v>39</v>
      </c>
      <c r="F170" t="s">
        <v>36</v>
      </c>
      <c r="G170">
        <v>31</v>
      </c>
      <c r="H170" t="s">
        <v>469</v>
      </c>
      <c r="I170">
        <v>0.22086203098297119</v>
      </c>
      <c r="J170">
        <v>1.290323561988771E-4</v>
      </c>
      <c r="K170">
        <v>1</v>
      </c>
      <c r="L170">
        <v>2000000</v>
      </c>
      <c r="M170">
        <v>2000000</v>
      </c>
      <c r="O170" t="s">
        <v>36</v>
      </c>
      <c r="P170">
        <v>1</v>
      </c>
      <c r="Q170">
        <v>1000000</v>
      </c>
      <c r="R170">
        <v>1000000</v>
      </c>
      <c r="S170">
        <f t="shared" si="34"/>
        <v>0</v>
      </c>
      <c r="T170">
        <f t="shared" si="35"/>
        <v>0</v>
      </c>
      <c r="U170">
        <f t="shared" si="27"/>
        <v>1</v>
      </c>
      <c r="V170">
        <v>0</v>
      </c>
      <c r="W170">
        <f t="shared" si="28"/>
        <v>0</v>
      </c>
      <c r="X170">
        <f t="shared" si="29"/>
        <v>0</v>
      </c>
      <c r="Y170">
        <f t="shared" si="30"/>
        <v>0</v>
      </c>
      <c r="Z170">
        <f t="shared" si="31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2"/>
        <v>0</v>
      </c>
      <c r="AE170">
        <f t="shared" si="33"/>
        <v>0</v>
      </c>
      <c r="AF170">
        <f t="shared" si="26"/>
        <v>2000000</v>
      </c>
    </row>
  </sheetData>
  <autoFilter ref="A15:AF188" xr:uid="{D7935FD6-64C0-4626-ABA5-BA439E82D71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E238-34B6-483C-938B-C4FC6B1B54A5}">
  <dimension ref="A1:AF170"/>
  <sheetViews>
    <sheetView workbookViewId="0">
      <selection activeCell="H6" sqref="H6"/>
    </sheetView>
  </sheetViews>
  <sheetFormatPr defaultRowHeight="14.5" x14ac:dyDescent="0.35"/>
  <cols>
    <col min="1" max="1" width="36.90625" customWidth="1"/>
    <col min="2" max="2" width="16.54296875" customWidth="1"/>
    <col min="3" max="3" width="33.81640625" customWidth="1"/>
    <col min="4" max="4" width="14.1796875" customWidth="1"/>
    <col min="5" max="5" width="21.453125" customWidth="1"/>
    <col min="6" max="6" width="10.6328125" customWidth="1"/>
    <col min="7" max="7" width="20" customWidth="1"/>
    <col min="8" max="8" width="12.54296875" customWidth="1"/>
    <col min="9" max="9" width="12.453125" bestFit="1" customWidth="1"/>
    <col min="11" max="11" width="10" customWidth="1"/>
    <col min="12" max="12" width="9.81640625" bestFit="1" customWidth="1"/>
    <col min="13" max="13" width="14.36328125" customWidth="1"/>
    <col min="17" max="17" width="20" customWidth="1"/>
  </cols>
  <sheetData>
    <row r="1" spans="1:32" x14ac:dyDescent="0.35">
      <c r="B1" t="s">
        <v>879</v>
      </c>
      <c r="C1" s="2">
        <f>SUMPRODUCT($A$16:$A$198,$AF$16:$AF$198)</f>
        <v>82700000</v>
      </c>
      <c r="D1" t="s">
        <v>8</v>
      </c>
      <c r="E1" s="2">
        <v>82994591</v>
      </c>
      <c r="G1" s="5" t="s">
        <v>866</v>
      </c>
      <c r="H1" s="5" t="s">
        <v>11</v>
      </c>
      <c r="I1" s="5" t="s">
        <v>865</v>
      </c>
    </row>
    <row r="2" spans="1:32" x14ac:dyDescent="0.35">
      <c r="B2" t="s">
        <v>25</v>
      </c>
      <c r="C2">
        <f>SUMPRODUCT($A$16:$A$198,$S$16:$S$198)</f>
        <v>1</v>
      </c>
      <c r="D2" t="s">
        <v>8</v>
      </c>
      <c r="E2">
        <v>1</v>
      </c>
      <c r="G2" t="s">
        <v>55</v>
      </c>
      <c r="H2">
        <v>3.6227576732635498</v>
      </c>
      <c r="I2">
        <v>30000000</v>
      </c>
    </row>
    <row r="3" spans="1:32" x14ac:dyDescent="0.35">
      <c r="B3" t="s">
        <v>10</v>
      </c>
      <c r="C3">
        <f>SUMPRODUCT($A$16:$A$198,$T$16:$T$198)</f>
        <v>2</v>
      </c>
      <c r="D3" s="3" t="s">
        <v>869</v>
      </c>
      <c r="E3">
        <v>2</v>
      </c>
      <c r="G3" t="s">
        <v>55</v>
      </c>
      <c r="H3">
        <v>3.6227576732635498</v>
      </c>
      <c r="I3">
        <v>30000000</v>
      </c>
    </row>
    <row r="4" spans="1:32" x14ac:dyDescent="0.35">
      <c r="C4">
        <v>0</v>
      </c>
      <c r="E4">
        <v>0</v>
      </c>
      <c r="G4" t="s">
        <v>88</v>
      </c>
      <c r="H4">
        <v>3.4065380096435547</v>
      </c>
      <c r="I4">
        <v>30000000</v>
      </c>
    </row>
    <row r="5" spans="1:32" x14ac:dyDescent="0.35">
      <c r="B5" t="s">
        <v>9</v>
      </c>
      <c r="C5">
        <f>SUMPRODUCT($A$16:$A$198,$U$16:$U$198)</f>
        <v>2</v>
      </c>
      <c r="D5" s="3" t="s">
        <v>869</v>
      </c>
      <c r="E5">
        <v>2</v>
      </c>
      <c r="G5" t="s">
        <v>234</v>
      </c>
      <c r="H5">
        <v>0.68837302923202515</v>
      </c>
      <c r="I5">
        <v>6500000</v>
      </c>
    </row>
    <row r="6" spans="1:32" x14ac:dyDescent="0.35">
      <c r="C6">
        <v>0</v>
      </c>
      <c r="E6">
        <v>0</v>
      </c>
      <c r="G6" t="s">
        <v>415</v>
      </c>
      <c r="H6">
        <v>0.58305740356445313</v>
      </c>
      <c r="I6">
        <v>5000000</v>
      </c>
    </row>
    <row r="7" spans="1:32" x14ac:dyDescent="0.35">
      <c r="B7" t="s">
        <v>3</v>
      </c>
      <c r="C7">
        <f>SUMPRODUCT($A$16:$A$198,$V$16:$V$198)</f>
        <v>1</v>
      </c>
      <c r="D7" s="3" t="s">
        <v>869</v>
      </c>
      <c r="E7">
        <v>1</v>
      </c>
      <c r="G7" t="s">
        <v>165</v>
      </c>
      <c r="H7">
        <v>1.4981144666671753</v>
      </c>
      <c r="I7">
        <v>5750000</v>
      </c>
    </row>
    <row r="8" spans="1:32" x14ac:dyDescent="0.35">
      <c r="B8" t="s">
        <v>7</v>
      </c>
      <c r="C8">
        <f>SUMPRODUCT($A$16:$A$198,$AC$16:$AC$198)</f>
        <v>1</v>
      </c>
      <c r="D8" s="3" t="s">
        <v>869</v>
      </c>
      <c r="E8">
        <v>1</v>
      </c>
      <c r="G8" t="s">
        <v>243</v>
      </c>
      <c r="H8">
        <v>0.96923506259918213</v>
      </c>
      <c r="I8">
        <v>1950000</v>
      </c>
    </row>
    <row r="9" spans="1:32" x14ac:dyDescent="0.35">
      <c r="A9" t="s">
        <v>868</v>
      </c>
      <c r="B9" t="s">
        <v>347</v>
      </c>
      <c r="C9">
        <f>SUMPRODUCT($A$16:$A$198,$AE$16:$AE$198)</f>
        <v>1</v>
      </c>
      <c r="D9" s="3" t="s">
        <v>869</v>
      </c>
      <c r="E9">
        <v>1</v>
      </c>
      <c r="G9" t="s">
        <v>292</v>
      </c>
      <c r="H9">
        <v>0.44243860244750977</v>
      </c>
      <c r="I9">
        <v>3500000</v>
      </c>
    </row>
    <row r="10" spans="1:32" x14ac:dyDescent="0.35">
      <c r="A10" t="s">
        <v>878</v>
      </c>
      <c r="B10" t="s">
        <v>877</v>
      </c>
      <c r="C10">
        <f>SUM(A16:A198)</f>
        <v>7</v>
      </c>
      <c r="D10" t="s">
        <v>869</v>
      </c>
      <c r="E10">
        <v>7</v>
      </c>
    </row>
    <row r="11" spans="1:32" x14ac:dyDescent="0.35">
      <c r="B11" t="s">
        <v>55</v>
      </c>
      <c r="C11">
        <f>A24</f>
        <v>1</v>
      </c>
      <c r="D11" s="3" t="s">
        <v>869</v>
      </c>
      <c r="E11">
        <v>1</v>
      </c>
    </row>
    <row r="12" spans="1:32" x14ac:dyDescent="0.35">
      <c r="B12" t="s">
        <v>11</v>
      </c>
      <c r="C12" s="4">
        <f>SUMPRODUCT($A$16:$A$198, $J$16:$J$198)</f>
        <v>11.21051424741745</v>
      </c>
    </row>
    <row r="15" spans="1:32" x14ac:dyDescent="0.35">
      <c r="A15" t="s">
        <v>864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25</v>
      </c>
      <c r="T15" t="s">
        <v>10</v>
      </c>
      <c r="U15" t="s">
        <v>9</v>
      </c>
      <c r="V15" t="s">
        <v>3</v>
      </c>
      <c r="W15" t="s">
        <v>0</v>
      </c>
      <c r="X15" t="s">
        <v>1</v>
      </c>
      <c r="Y15" t="s">
        <v>4</v>
      </c>
      <c r="Z15" t="s">
        <v>2</v>
      </c>
      <c r="AA15" t="s">
        <v>5</v>
      </c>
      <c r="AB15" t="s">
        <v>6</v>
      </c>
      <c r="AC15" t="s">
        <v>7</v>
      </c>
      <c r="AD15" t="s">
        <v>863</v>
      </c>
      <c r="AE15" t="s">
        <v>347</v>
      </c>
      <c r="AF15" t="s">
        <v>885</v>
      </c>
    </row>
    <row r="16" spans="1:32" x14ac:dyDescent="0.35">
      <c r="A16" s="1">
        <v>0</v>
      </c>
      <c r="B16" t="s">
        <v>870</v>
      </c>
      <c r="C16" t="s">
        <v>7</v>
      </c>
      <c r="J16">
        <v>0</v>
      </c>
      <c r="M16">
        <v>760000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f>IF(M16="", R16, M16)</f>
        <v>760000</v>
      </c>
    </row>
    <row r="17" spans="1:32" x14ac:dyDescent="0.35">
      <c r="A17" s="1">
        <v>0</v>
      </c>
      <c r="B17" t="s">
        <v>871</v>
      </c>
      <c r="C17" t="s">
        <v>3</v>
      </c>
      <c r="J17">
        <v>0</v>
      </c>
      <c r="M17">
        <v>760000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ref="AF17:AF80" si="0">IF(M17="", R17, M17)</f>
        <v>760000</v>
      </c>
    </row>
    <row r="18" spans="1:32" x14ac:dyDescent="0.35">
      <c r="A18" s="1">
        <v>0</v>
      </c>
      <c r="B18" t="s">
        <v>872</v>
      </c>
      <c r="C18" t="s">
        <v>867</v>
      </c>
      <c r="J18">
        <v>0</v>
      </c>
      <c r="M18">
        <v>760000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f t="shared" si="0"/>
        <v>760000</v>
      </c>
    </row>
    <row r="19" spans="1:32" x14ac:dyDescent="0.35">
      <c r="A19" s="1">
        <v>0</v>
      </c>
      <c r="B19" t="s">
        <v>873</v>
      </c>
      <c r="C19" t="s">
        <v>10</v>
      </c>
      <c r="J19">
        <v>0</v>
      </c>
      <c r="M19">
        <v>760000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 t="shared" si="0"/>
        <v>760000</v>
      </c>
    </row>
    <row r="20" spans="1:32" x14ac:dyDescent="0.35">
      <c r="A20" s="1">
        <v>0</v>
      </c>
      <c r="B20" t="s">
        <v>874</v>
      </c>
      <c r="C20" t="s">
        <v>10</v>
      </c>
      <c r="J20">
        <v>0</v>
      </c>
      <c r="M20">
        <v>760000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 t="shared" si="0"/>
        <v>760000</v>
      </c>
    </row>
    <row r="21" spans="1:32" x14ac:dyDescent="0.35">
      <c r="A21" s="1">
        <v>0</v>
      </c>
      <c r="B21" t="s">
        <v>875</v>
      </c>
      <c r="C21" t="s">
        <v>9</v>
      </c>
      <c r="J21">
        <v>0</v>
      </c>
      <c r="M21">
        <v>760000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760000</v>
      </c>
    </row>
    <row r="22" spans="1:32" x14ac:dyDescent="0.35">
      <c r="A22" s="1">
        <v>0</v>
      </c>
      <c r="B22" t="s">
        <v>876</v>
      </c>
      <c r="C22" t="s">
        <v>9</v>
      </c>
      <c r="J22">
        <v>0</v>
      </c>
      <c r="M22">
        <v>760000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760000</v>
      </c>
    </row>
    <row r="23" spans="1:32" x14ac:dyDescent="0.35">
      <c r="A23" s="1">
        <v>0</v>
      </c>
      <c r="B23" t="s">
        <v>12</v>
      </c>
      <c r="C23" t="s">
        <v>32</v>
      </c>
      <c r="D23" t="s">
        <v>33</v>
      </c>
      <c r="E23" t="s">
        <v>33</v>
      </c>
      <c r="F23" t="s">
        <v>34</v>
      </c>
      <c r="G23">
        <v>26</v>
      </c>
      <c r="H23" t="s">
        <v>35</v>
      </c>
      <c r="I23">
        <v>8.2910079956054688</v>
      </c>
      <c r="J23">
        <v>6.0155210494995117</v>
      </c>
      <c r="K23">
        <v>13</v>
      </c>
      <c r="L23">
        <v>585000000</v>
      </c>
      <c r="M23">
        <v>45000000</v>
      </c>
      <c r="N23">
        <v>21050000</v>
      </c>
      <c r="O23" t="s">
        <v>36</v>
      </c>
      <c r="P23">
        <v>15</v>
      </c>
      <c r="Q23">
        <v>765000000</v>
      </c>
      <c r="R23">
        <v>51000000</v>
      </c>
      <c r="S23">
        <f>IF(N23&gt;0, 1, 0)</f>
        <v>1</v>
      </c>
      <c r="T23">
        <f>IF(ISNUMBER(SEARCH("SP", $C23)), 1, 0)</f>
        <v>0</v>
      </c>
      <c r="U23">
        <f t="shared" ref="U23:U86" si="1">IF(ISNUMBER(SEARCH("RP", $C23)), 1, 0)</f>
        <v>0</v>
      </c>
      <c r="V23">
        <v>0</v>
      </c>
      <c r="W23">
        <f t="shared" ref="W23:W86" si="2">IF(ISNUMBER(SEARCH("1B", $C23)), 1, 0)</f>
        <v>0</v>
      </c>
      <c r="X23">
        <f t="shared" ref="X23:X86" si="3">IF(ISNUMBER(SEARCH("2B", $C23)), 1, 0)</f>
        <v>0</v>
      </c>
      <c r="Y23">
        <f t="shared" ref="Y23:Y86" si="4">IF(ISNUMBER(SEARCH("SS", $C23)), 1, 0)</f>
        <v>0</v>
      </c>
      <c r="Z23">
        <f t="shared" ref="Z23:Z86" si="5">IF(ISNUMBER(SEARCH("3B", $C23)), 1, 0)</f>
        <v>0</v>
      </c>
      <c r="AA23">
        <f>IF($AD23=1, 1, IF(ISNUMBER(SEARCH("LF", $C23)), 1, 0))</f>
        <v>1</v>
      </c>
      <c r="AB23">
        <f>IF($AD23=1, 1, IF(ISNUMBER(SEARCH("CF", $C23)), 1, 0))</f>
        <v>0</v>
      </c>
      <c r="AC23">
        <f>IF($AD23=1, 1, IF(ISNUMBER(SEARCH("RF", $C23)), 1, 0))</f>
        <v>1</v>
      </c>
      <c r="AD23">
        <f t="shared" ref="AD23:AD86" si="6">IF(ISNUMBER(SEARCH("OF", $C23)), 1, 0)</f>
        <v>0</v>
      </c>
      <c r="AE23">
        <f t="shared" ref="AE23:AE86" si="7">IF(ISNUMBER(SEARCH("DH", $C23)), 1, 0)</f>
        <v>0</v>
      </c>
      <c r="AF23">
        <f t="shared" si="0"/>
        <v>45000000</v>
      </c>
    </row>
    <row r="24" spans="1:32" x14ac:dyDescent="0.35">
      <c r="A24" s="1">
        <v>1</v>
      </c>
      <c r="B24" t="s">
        <v>55</v>
      </c>
      <c r="C24" t="s">
        <v>10</v>
      </c>
      <c r="D24" t="s">
        <v>39</v>
      </c>
      <c r="E24" t="s">
        <v>39</v>
      </c>
      <c r="F24" t="s">
        <v>56</v>
      </c>
      <c r="G24">
        <v>30</v>
      </c>
      <c r="H24" t="s">
        <v>57</v>
      </c>
      <c r="I24">
        <v>3.8361482620239258</v>
      </c>
      <c r="J24">
        <v>3.6227576732635498</v>
      </c>
      <c r="K24">
        <v>6</v>
      </c>
      <c r="L24">
        <v>180000000</v>
      </c>
      <c r="M24">
        <v>30000000</v>
      </c>
      <c r="N24">
        <v>21050000</v>
      </c>
      <c r="O24" t="s">
        <v>58</v>
      </c>
      <c r="P24">
        <v>6</v>
      </c>
      <c r="Q24">
        <v>210000000</v>
      </c>
      <c r="R24">
        <v>33041322</v>
      </c>
      <c r="S24">
        <f t="shared" ref="S24:S87" si="8">IF(N24&gt;0, 1, 0)</f>
        <v>1</v>
      </c>
      <c r="T24">
        <f t="shared" ref="T24:T87" si="9">IF(ISNUMBER(SEARCH("SP", $C24)), 1, 0)</f>
        <v>1</v>
      </c>
      <c r="U24">
        <f t="shared" si="1"/>
        <v>0</v>
      </c>
      <c r="V24">
        <v>0</v>
      </c>
      <c r="W24">
        <f t="shared" si="2"/>
        <v>0</v>
      </c>
      <c r="X24">
        <f t="shared" si="3"/>
        <v>0</v>
      </c>
      <c r="Y24">
        <f t="shared" si="4"/>
        <v>0</v>
      </c>
      <c r="Z24">
        <f t="shared" si="5"/>
        <v>0</v>
      </c>
      <c r="AA24">
        <f t="shared" ref="AA24:AA87" si="10">IF($AD24=1, 1, IF(ISNUMBER(SEARCH("LF", $C24)), 1, 0))</f>
        <v>0</v>
      </c>
      <c r="AB24">
        <f t="shared" ref="AB24:AB87" si="11">IF($AD24=1, 1, IF(ISNUMBER(SEARCH("CF", $C24)), 1, 0))</f>
        <v>0</v>
      </c>
      <c r="AC24">
        <f t="shared" ref="AC24:AC87" si="12">IF($AD24=1, 1, IF(ISNUMBER(SEARCH("RF", $C24)), 1, 0))</f>
        <v>0</v>
      </c>
      <c r="AD24">
        <f t="shared" si="6"/>
        <v>0</v>
      </c>
      <c r="AE24">
        <f t="shared" si="7"/>
        <v>0</v>
      </c>
      <c r="AF24">
        <f t="shared" si="0"/>
        <v>30000000</v>
      </c>
    </row>
    <row r="25" spans="1:32" x14ac:dyDescent="0.35">
      <c r="A25" s="1">
        <v>1</v>
      </c>
      <c r="B25" t="s">
        <v>88</v>
      </c>
      <c r="C25" t="s">
        <v>10</v>
      </c>
      <c r="D25" t="s">
        <v>33</v>
      </c>
      <c r="E25" t="s">
        <v>33</v>
      </c>
      <c r="F25" t="s">
        <v>42</v>
      </c>
      <c r="G25">
        <v>32</v>
      </c>
      <c r="H25" t="s">
        <v>89</v>
      </c>
      <c r="I25">
        <v>3.0745391845703125</v>
      </c>
      <c r="J25">
        <v>3.4065380096435547</v>
      </c>
      <c r="K25">
        <v>4</v>
      </c>
      <c r="L25">
        <v>120000000</v>
      </c>
      <c r="M25">
        <v>30000000</v>
      </c>
      <c r="O25" t="s">
        <v>66</v>
      </c>
      <c r="P25">
        <v>5</v>
      </c>
      <c r="Q25">
        <v>182000000</v>
      </c>
      <c r="R25">
        <v>31357257</v>
      </c>
      <c r="S25">
        <f t="shared" si="8"/>
        <v>0</v>
      </c>
      <c r="T25">
        <f t="shared" si="9"/>
        <v>1</v>
      </c>
      <c r="U25">
        <f t="shared" si="1"/>
        <v>0</v>
      </c>
      <c r="V25">
        <v>0</v>
      </c>
      <c r="W25">
        <f t="shared" si="2"/>
        <v>0</v>
      </c>
      <c r="X25">
        <f t="shared" si="3"/>
        <v>0</v>
      </c>
      <c r="Y25">
        <f t="shared" si="4"/>
        <v>0</v>
      </c>
      <c r="Z25">
        <f t="shared" si="5"/>
        <v>0</v>
      </c>
      <c r="AA25">
        <f t="shared" si="10"/>
        <v>0</v>
      </c>
      <c r="AB25">
        <f t="shared" si="11"/>
        <v>0</v>
      </c>
      <c r="AC25">
        <f t="shared" si="12"/>
        <v>0</v>
      </c>
      <c r="AD25">
        <f t="shared" si="6"/>
        <v>0</v>
      </c>
      <c r="AE25">
        <f t="shared" si="7"/>
        <v>0</v>
      </c>
      <c r="AF25">
        <f t="shared" si="0"/>
        <v>30000000</v>
      </c>
    </row>
    <row r="26" spans="1:32" x14ac:dyDescent="0.35">
      <c r="A26" s="1">
        <v>0</v>
      </c>
      <c r="B26" t="s">
        <v>73</v>
      </c>
      <c r="C26" t="s">
        <v>10</v>
      </c>
      <c r="D26" t="s">
        <v>33</v>
      </c>
      <c r="E26" t="s">
        <v>33</v>
      </c>
      <c r="F26" t="s">
        <v>48</v>
      </c>
      <c r="G26">
        <v>31</v>
      </c>
      <c r="H26" t="s">
        <v>74</v>
      </c>
      <c r="I26">
        <v>3.3708357810974121</v>
      </c>
      <c r="J26">
        <v>3.2881619930267334</v>
      </c>
      <c r="K26">
        <v>5</v>
      </c>
      <c r="L26">
        <v>125000000</v>
      </c>
      <c r="M26">
        <v>25000000</v>
      </c>
      <c r="N26">
        <v>21050000</v>
      </c>
      <c r="O26" t="s">
        <v>34</v>
      </c>
      <c r="P26">
        <v>8</v>
      </c>
      <c r="Q26">
        <v>218000000</v>
      </c>
      <c r="R26">
        <v>27250000</v>
      </c>
      <c r="S26">
        <f t="shared" si="8"/>
        <v>1</v>
      </c>
      <c r="T26">
        <f t="shared" si="9"/>
        <v>1</v>
      </c>
      <c r="U26">
        <f t="shared" si="1"/>
        <v>0</v>
      </c>
      <c r="V26">
        <v>0</v>
      </c>
      <c r="W26">
        <f t="shared" si="2"/>
        <v>0</v>
      </c>
      <c r="X26">
        <f t="shared" si="3"/>
        <v>0</v>
      </c>
      <c r="Y26">
        <f t="shared" si="4"/>
        <v>0</v>
      </c>
      <c r="Z26">
        <f t="shared" si="5"/>
        <v>0</v>
      </c>
      <c r="AA26">
        <f t="shared" si="10"/>
        <v>0</v>
      </c>
      <c r="AB26">
        <f t="shared" si="11"/>
        <v>0</v>
      </c>
      <c r="AC26">
        <f t="shared" si="12"/>
        <v>0</v>
      </c>
      <c r="AD26">
        <f t="shared" si="6"/>
        <v>0</v>
      </c>
      <c r="AE26">
        <f t="shared" si="7"/>
        <v>0</v>
      </c>
      <c r="AF26">
        <f t="shared" si="0"/>
        <v>25000000</v>
      </c>
    </row>
    <row r="27" spans="1:32" x14ac:dyDescent="0.35">
      <c r="A27" s="1">
        <v>0</v>
      </c>
      <c r="B27" t="s">
        <v>60</v>
      </c>
      <c r="C27" t="s">
        <v>10</v>
      </c>
      <c r="D27" t="s">
        <v>33</v>
      </c>
      <c r="E27" t="s">
        <v>33</v>
      </c>
      <c r="F27" t="s">
        <v>51</v>
      </c>
      <c r="G27">
        <v>34</v>
      </c>
      <c r="H27" t="s">
        <v>61</v>
      </c>
      <c r="I27">
        <v>3.6429600715637207</v>
      </c>
      <c r="J27">
        <v>2.9929993152618408</v>
      </c>
      <c r="K27">
        <v>3</v>
      </c>
      <c r="L27">
        <v>54000000</v>
      </c>
      <c r="M27">
        <v>18000000</v>
      </c>
      <c r="O27" t="s">
        <v>62</v>
      </c>
      <c r="P27">
        <v>3</v>
      </c>
      <c r="Q27">
        <v>63000000</v>
      </c>
      <c r="R27">
        <v>21000000</v>
      </c>
      <c r="S27">
        <f t="shared" si="8"/>
        <v>0</v>
      </c>
      <c r="T27">
        <f t="shared" si="9"/>
        <v>1</v>
      </c>
      <c r="U27">
        <f t="shared" si="1"/>
        <v>0</v>
      </c>
      <c r="V27">
        <v>0</v>
      </c>
      <c r="W27">
        <f t="shared" si="2"/>
        <v>0</v>
      </c>
      <c r="X27">
        <f t="shared" si="3"/>
        <v>0</v>
      </c>
      <c r="Y27">
        <f t="shared" si="4"/>
        <v>0</v>
      </c>
      <c r="Z27">
        <f t="shared" si="5"/>
        <v>0</v>
      </c>
      <c r="AA27">
        <f t="shared" si="10"/>
        <v>0</v>
      </c>
      <c r="AB27">
        <f t="shared" si="11"/>
        <v>0</v>
      </c>
      <c r="AC27">
        <f t="shared" si="12"/>
        <v>0</v>
      </c>
      <c r="AD27">
        <f t="shared" si="6"/>
        <v>0</v>
      </c>
      <c r="AE27">
        <f t="shared" si="7"/>
        <v>0</v>
      </c>
      <c r="AF27">
        <f t="shared" si="0"/>
        <v>18000000</v>
      </c>
    </row>
    <row r="28" spans="1:32" x14ac:dyDescent="0.35">
      <c r="A28" s="1">
        <v>0</v>
      </c>
      <c r="B28" t="s">
        <v>112</v>
      </c>
      <c r="C28" t="s">
        <v>10</v>
      </c>
      <c r="D28" t="s">
        <v>39</v>
      </c>
      <c r="E28" t="s">
        <v>39</v>
      </c>
      <c r="F28" t="s">
        <v>97</v>
      </c>
      <c r="G28">
        <v>35</v>
      </c>
      <c r="H28" t="s">
        <v>113</v>
      </c>
      <c r="I28">
        <v>2.6279804706573486</v>
      </c>
      <c r="J28">
        <v>2.863853931427002</v>
      </c>
      <c r="K28">
        <v>3</v>
      </c>
      <c r="L28">
        <v>60000000</v>
      </c>
      <c r="M28">
        <v>20000000</v>
      </c>
      <c r="O28" t="s">
        <v>97</v>
      </c>
      <c r="P28">
        <v>3</v>
      </c>
      <c r="Q28">
        <v>75000000</v>
      </c>
      <c r="R28">
        <v>25000000</v>
      </c>
      <c r="S28">
        <f t="shared" si="8"/>
        <v>0</v>
      </c>
      <c r="T28">
        <f t="shared" si="9"/>
        <v>1</v>
      </c>
      <c r="U28">
        <f t="shared" si="1"/>
        <v>0</v>
      </c>
      <c r="V28">
        <v>0</v>
      </c>
      <c r="W28">
        <f t="shared" si="2"/>
        <v>0</v>
      </c>
      <c r="X28">
        <f t="shared" si="3"/>
        <v>0</v>
      </c>
      <c r="Y28">
        <f t="shared" si="4"/>
        <v>0</v>
      </c>
      <c r="Z28">
        <f t="shared" si="5"/>
        <v>0</v>
      </c>
      <c r="AA28">
        <f t="shared" si="10"/>
        <v>0</v>
      </c>
      <c r="AB28">
        <f t="shared" si="11"/>
        <v>0</v>
      </c>
      <c r="AC28">
        <f t="shared" si="12"/>
        <v>0</v>
      </c>
      <c r="AD28">
        <f t="shared" si="6"/>
        <v>0</v>
      </c>
      <c r="AE28">
        <f t="shared" si="7"/>
        <v>0</v>
      </c>
      <c r="AF28">
        <f t="shared" si="0"/>
        <v>20000000</v>
      </c>
    </row>
    <row r="29" spans="1:32" x14ac:dyDescent="0.35">
      <c r="A29" s="1">
        <v>0</v>
      </c>
      <c r="B29" t="s">
        <v>76</v>
      </c>
      <c r="C29" t="s">
        <v>10</v>
      </c>
      <c r="D29" t="s">
        <v>39</v>
      </c>
      <c r="E29" t="s">
        <v>39</v>
      </c>
      <c r="F29" t="s">
        <v>66</v>
      </c>
      <c r="G29">
        <v>29</v>
      </c>
      <c r="H29" t="s">
        <v>77</v>
      </c>
      <c r="I29">
        <v>3.3211297988891602</v>
      </c>
      <c r="J29">
        <v>2.5394833087921143</v>
      </c>
      <c r="K29">
        <v>4</v>
      </c>
      <c r="L29">
        <v>88000000</v>
      </c>
      <c r="M29">
        <v>22000000</v>
      </c>
      <c r="O29" t="s">
        <v>78</v>
      </c>
      <c r="P29">
        <v>2</v>
      </c>
      <c r="Q29">
        <v>45000000</v>
      </c>
      <c r="R29">
        <v>22500000</v>
      </c>
      <c r="S29">
        <f t="shared" si="8"/>
        <v>0</v>
      </c>
      <c r="T29">
        <f t="shared" si="9"/>
        <v>1</v>
      </c>
      <c r="U29">
        <f t="shared" si="1"/>
        <v>0</v>
      </c>
      <c r="V29">
        <v>0</v>
      </c>
      <c r="W29">
        <f t="shared" si="2"/>
        <v>0</v>
      </c>
      <c r="X29">
        <f t="shared" si="3"/>
        <v>0</v>
      </c>
      <c r="Y29">
        <f t="shared" si="4"/>
        <v>0</v>
      </c>
      <c r="Z29">
        <f t="shared" si="5"/>
        <v>0</v>
      </c>
      <c r="AA29">
        <f t="shared" si="10"/>
        <v>0</v>
      </c>
      <c r="AB29">
        <f t="shared" si="11"/>
        <v>0</v>
      </c>
      <c r="AC29">
        <f t="shared" si="12"/>
        <v>0</v>
      </c>
      <c r="AD29">
        <f t="shared" si="6"/>
        <v>0</v>
      </c>
      <c r="AE29">
        <f t="shared" si="7"/>
        <v>0</v>
      </c>
      <c r="AF29">
        <f t="shared" si="0"/>
        <v>22000000</v>
      </c>
    </row>
    <row r="30" spans="1:32" x14ac:dyDescent="0.35">
      <c r="A30" s="1">
        <v>0</v>
      </c>
      <c r="B30" t="s">
        <v>84</v>
      </c>
      <c r="C30" t="s">
        <v>65</v>
      </c>
      <c r="D30" t="s">
        <v>45</v>
      </c>
      <c r="E30" t="s">
        <v>39</v>
      </c>
      <c r="F30" t="s">
        <v>56</v>
      </c>
      <c r="G30">
        <v>30</v>
      </c>
      <c r="H30" t="s">
        <v>85</v>
      </c>
      <c r="I30">
        <v>3.2152910232543945</v>
      </c>
      <c r="J30">
        <v>2.4824109077453613</v>
      </c>
      <c r="K30">
        <v>4</v>
      </c>
      <c r="L30">
        <v>80000000</v>
      </c>
      <c r="M30">
        <v>20000000</v>
      </c>
      <c r="N30">
        <v>21050000</v>
      </c>
      <c r="O30" t="s">
        <v>86</v>
      </c>
      <c r="P30">
        <v>5</v>
      </c>
      <c r="Q30">
        <v>92500000</v>
      </c>
      <c r="R30">
        <v>14314441</v>
      </c>
      <c r="S30">
        <f t="shared" si="8"/>
        <v>1</v>
      </c>
      <c r="T30">
        <f t="shared" si="9"/>
        <v>0</v>
      </c>
      <c r="U30">
        <f t="shared" si="1"/>
        <v>0</v>
      </c>
      <c r="V30">
        <v>0</v>
      </c>
      <c r="W30">
        <f t="shared" si="2"/>
        <v>0</v>
      </c>
      <c r="X30">
        <f t="shared" si="3"/>
        <v>0</v>
      </c>
      <c r="Y30">
        <f t="shared" si="4"/>
        <v>0</v>
      </c>
      <c r="Z30">
        <f t="shared" si="5"/>
        <v>0</v>
      </c>
      <c r="AA30">
        <f t="shared" si="10"/>
        <v>1</v>
      </c>
      <c r="AB30">
        <f t="shared" si="11"/>
        <v>0</v>
      </c>
      <c r="AC30">
        <f t="shared" si="12"/>
        <v>1</v>
      </c>
      <c r="AD30">
        <f t="shared" si="6"/>
        <v>0</v>
      </c>
      <c r="AE30">
        <f t="shared" si="7"/>
        <v>0</v>
      </c>
      <c r="AF30">
        <f t="shared" si="0"/>
        <v>20000000</v>
      </c>
    </row>
    <row r="31" spans="1:32" x14ac:dyDescent="0.35">
      <c r="A31" s="1">
        <v>0</v>
      </c>
      <c r="B31" t="s">
        <v>137</v>
      </c>
      <c r="C31" t="s">
        <v>10</v>
      </c>
      <c r="D31" t="s">
        <v>39</v>
      </c>
      <c r="E31" t="s">
        <v>39</v>
      </c>
      <c r="F31" t="s">
        <v>53</v>
      </c>
      <c r="G31">
        <v>32</v>
      </c>
      <c r="H31" t="s">
        <v>138</v>
      </c>
      <c r="I31">
        <v>2.0111303329467773</v>
      </c>
      <c r="J31">
        <v>2.3676526546478271</v>
      </c>
      <c r="K31">
        <v>3</v>
      </c>
      <c r="L31">
        <v>45000000</v>
      </c>
      <c r="M31">
        <v>15000000</v>
      </c>
      <c r="N31">
        <v>21050000</v>
      </c>
      <c r="O31" t="s">
        <v>46</v>
      </c>
      <c r="P31">
        <v>4</v>
      </c>
      <c r="Q31">
        <v>55000000</v>
      </c>
      <c r="R31">
        <v>13750000</v>
      </c>
      <c r="S31">
        <f t="shared" si="8"/>
        <v>1</v>
      </c>
      <c r="T31">
        <f t="shared" si="9"/>
        <v>1</v>
      </c>
      <c r="U31">
        <f t="shared" si="1"/>
        <v>0</v>
      </c>
      <c r="V31">
        <v>0</v>
      </c>
      <c r="W31">
        <f t="shared" si="2"/>
        <v>0</v>
      </c>
      <c r="X31">
        <f t="shared" si="3"/>
        <v>0</v>
      </c>
      <c r="Y31">
        <f t="shared" si="4"/>
        <v>0</v>
      </c>
      <c r="Z31">
        <f t="shared" si="5"/>
        <v>0</v>
      </c>
      <c r="AA31">
        <f t="shared" si="10"/>
        <v>0</v>
      </c>
      <c r="AB31">
        <f t="shared" si="11"/>
        <v>0</v>
      </c>
      <c r="AC31">
        <f t="shared" si="12"/>
        <v>0</v>
      </c>
      <c r="AD31">
        <f t="shared" si="6"/>
        <v>0</v>
      </c>
      <c r="AE31">
        <f t="shared" si="7"/>
        <v>0</v>
      </c>
      <c r="AF31">
        <f t="shared" si="0"/>
        <v>15000000</v>
      </c>
    </row>
    <row r="32" spans="1:32" x14ac:dyDescent="0.35">
      <c r="A32" s="1">
        <v>0</v>
      </c>
      <c r="B32" t="s">
        <v>64</v>
      </c>
      <c r="C32" t="s">
        <v>65</v>
      </c>
      <c r="D32" t="s">
        <v>39</v>
      </c>
      <c r="E32" t="s">
        <v>39</v>
      </c>
      <c r="F32" t="s">
        <v>66</v>
      </c>
      <c r="G32">
        <v>32</v>
      </c>
      <c r="H32" t="s">
        <v>67</v>
      </c>
      <c r="I32">
        <v>3.4158172607421875</v>
      </c>
      <c r="J32">
        <v>2.2135863304138184</v>
      </c>
      <c r="K32">
        <v>3</v>
      </c>
      <c r="L32">
        <v>69000000</v>
      </c>
      <c r="M32">
        <v>23000000</v>
      </c>
      <c r="N32">
        <v>21050000</v>
      </c>
      <c r="O32" t="s">
        <v>66</v>
      </c>
      <c r="P32">
        <v>3</v>
      </c>
      <c r="Q32">
        <v>66000000</v>
      </c>
      <c r="R32">
        <v>19957137</v>
      </c>
      <c r="S32">
        <f t="shared" si="8"/>
        <v>1</v>
      </c>
      <c r="T32">
        <f t="shared" si="9"/>
        <v>0</v>
      </c>
      <c r="U32">
        <f t="shared" si="1"/>
        <v>0</v>
      </c>
      <c r="V32">
        <v>0</v>
      </c>
      <c r="W32">
        <f t="shared" si="2"/>
        <v>0</v>
      </c>
      <c r="X32">
        <f t="shared" si="3"/>
        <v>0</v>
      </c>
      <c r="Y32">
        <f t="shared" si="4"/>
        <v>0</v>
      </c>
      <c r="Z32">
        <f t="shared" si="5"/>
        <v>0</v>
      </c>
      <c r="AA32">
        <f t="shared" si="10"/>
        <v>1</v>
      </c>
      <c r="AB32">
        <f t="shared" si="11"/>
        <v>0</v>
      </c>
      <c r="AC32">
        <f t="shared" si="12"/>
        <v>1</v>
      </c>
      <c r="AD32">
        <f t="shared" si="6"/>
        <v>0</v>
      </c>
      <c r="AE32">
        <f t="shared" si="7"/>
        <v>0</v>
      </c>
      <c r="AF32">
        <f t="shared" si="0"/>
        <v>23000000</v>
      </c>
    </row>
    <row r="33" spans="1:32" x14ac:dyDescent="0.35">
      <c r="A33" s="1">
        <v>0</v>
      </c>
      <c r="B33" t="s">
        <v>215</v>
      </c>
      <c r="C33" t="s">
        <v>10</v>
      </c>
      <c r="D33" t="s">
        <v>39</v>
      </c>
      <c r="E33" t="s">
        <v>39</v>
      </c>
      <c r="F33" t="s">
        <v>34</v>
      </c>
      <c r="G33">
        <v>32</v>
      </c>
      <c r="H33" t="s">
        <v>216</v>
      </c>
      <c r="I33">
        <v>1.1604137420654297</v>
      </c>
      <c r="J33">
        <v>2.1516938209533691</v>
      </c>
      <c r="K33">
        <v>2</v>
      </c>
      <c r="L33">
        <v>20000000</v>
      </c>
      <c r="M33">
        <v>10000000</v>
      </c>
      <c r="O33" t="s">
        <v>36</v>
      </c>
      <c r="P33">
        <v>3</v>
      </c>
      <c r="Q33">
        <v>38000000</v>
      </c>
      <c r="R33">
        <v>12666666.66666667</v>
      </c>
      <c r="S33">
        <f t="shared" si="8"/>
        <v>0</v>
      </c>
      <c r="T33">
        <f t="shared" si="9"/>
        <v>1</v>
      </c>
      <c r="U33">
        <f t="shared" si="1"/>
        <v>0</v>
      </c>
      <c r="V33">
        <v>0</v>
      </c>
      <c r="W33">
        <f t="shared" si="2"/>
        <v>0</v>
      </c>
      <c r="X33">
        <f t="shared" si="3"/>
        <v>0</v>
      </c>
      <c r="Y33">
        <f t="shared" si="4"/>
        <v>0</v>
      </c>
      <c r="Z33">
        <f t="shared" si="5"/>
        <v>0</v>
      </c>
      <c r="AA33">
        <f t="shared" si="10"/>
        <v>0</v>
      </c>
      <c r="AB33">
        <f t="shared" si="11"/>
        <v>0</v>
      </c>
      <c r="AC33">
        <f t="shared" si="12"/>
        <v>0</v>
      </c>
      <c r="AD33">
        <f t="shared" si="6"/>
        <v>0</v>
      </c>
      <c r="AE33">
        <f t="shared" si="7"/>
        <v>0</v>
      </c>
      <c r="AF33">
        <f t="shared" si="0"/>
        <v>10000000</v>
      </c>
    </row>
    <row r="34" spans="1:32" x14ac:dyDescent="0.35">
      <c r="A34" s="1">
        <v>0</v>
      </c>
      <c r="B34" t="s">
        <v>80</v>
      </c>
      <c r="C34" t="s">
        <v>10</v>
      </c>
      <c r="D34" t="s">
        <v>39</v>
      </c>
      <c r="E34" t="s">
        <v>39</v>
      </c>
      <c r="F34" t="s">
        <v>81</v>
      </c>
      <c r="G34">
        <v>33</v>
      </c>
      <c r="H34" t="s">
        <v>82</v>
      </c>
      <c r="I34">
        <v>3.3198311328887939</v>
      </c>
      <c r="J34">
        <v>2.1513991355895996</v>
      </c>
      <c r="K34">
        <v>3</v>
      </c>
      <c r="L34">
        <v>54000000</v>
      </c>
      <c r="M34">
        <v>18000000</v>
      </c>
      <c r="O34" t="s">
        <v>81</v>
      </c>
      <c r="P34">
        <v>3</v>
      </c>
      <c r="Q34">
        <v>51000000</v>
      </c>
      <c r="R34">
        <v>17000000</v>
      </c>
      <c r="S34">
        <f t="shared" si="8"/>
        <v>0</v>
      </c>
      <c r="T34">
        <f t="shared" si="9"/>
        <v>1</v>
      </c>
      <c r="U34">
        <f t="shared" si="1"/>
        <v>0</v>
      </c>
      <c r="V34">
        <v>0</v>
      </c>
      <c r="W34">
        <f t="shared" si="2"/>
        <v>0</v>
      </c>
      <c r="X34">
        <f t="shared" si="3"/>
        <v>0</v>
      </c>
      <c r="Y34">
        <f t="shared" si="4"/>
        <v>0</v>
      </c>
      <c r="Z34">
        <f t="shared" si="5"/>
        <v>0</v>
      </c>
      <c r="AA34">
        <f t="shared" si="10"/>
        <v>0</v>
      </c>
      <c r="AB34">
        <f t="shared" si="11"/>
        <v>0</v>
      </c>
      <c r="AC34">
        <f t="shared" si="12"/>
        <v>0</v>
      </c>
      <c r="AD34">
        <f t="shared" si="6"/>
        <v>0</v>
      </c>
      <c r="AE34">
        <f t="shared" si="7"/>
        <v>0</v>
      </c>
      <c r="AF34">
        <f t="shared" si="0"/>
        <v>18000000</v>
      </c>
    </row>
    <row r="35" spans="1:32" x14ac:dyDescent="0.35">
      <c r="A35" s="1">
        <v>0</v>
      </c>
      <c r="B35" t="s">
        <v>337</v>
      </c>
      <c r="C35" t="s">
        <v>10</v>
      </c>
      <c r="D35" t="s">
        <v>39</v>
      </c>
      <c r="E35" t="s">
        <v>39</v>
      </c>
      <c r="F35" t="s">
        <v>97</v>
      </c>
      <c r="G35">
        <v>40</v>
      </c>
      <c r="H35" t="s">
        <v>338</v>
      </c>
      <c r="I35">
        <v>0.60618424415588379</v>
      </c>
      <c r="J35">
        <v>1.9847042560577393</v>
      </c>
      <c r="K35">
        <v>1</v>
      </c>
      <c r="L35">
        <v>18000000</v>
      </c>
      <c r="M35">
        <v>18000000</v>
      </c>
      <c r="O35" t="s">
        <v>86</v>
      </c>
      <c r="P35">
        <v>1</v>
      </c>
      <c r="Q35">
        <v>15500000</v>
      </c>
      <c r="R35">
        <v>15500000</v>
      </c>
      <c r="S35">
        <f t="shared" si="8"/>
        <v>0</v>
      </c>
      <c r="T35">
        <f t="shared" si="9"/>
        <v>1</v>
      </c>
      <c r="U35">
        <f t="shared" si="1"/>
        <v>0</v>
      </c>
      <c r="V35">
        <v>0</v>
      </c>
      <c r="W35">
        <f t="shared" si="2"/>
        <v>0</v>
      </c>
      <c r="X35">
        <f t="shared" si="3"/>
        <v>0</v>
      </c>
      <c r="Y35">
        <f t="shared" si="4"/>
        <v>0</v>
      </c>
      <c r="Z35">
        <f t="shared" si="5"/>
        <v>0</v>
      </c>
      <c r="AA35">
        <f t="shared" si="10"/>
        <v>0</v>
      </c>
      <c r="AB35">
        <f t="shared" si="11"/>
        <v>0</v>
      </c>
      <c r="AC35">
        <f t="shared" si="12"/>
        <v>0</v>
      </c>
      <c r="AD35">
        <f t="shared" si="6"/>
        <v>0</v>
      </c>
      <c r="AE35">
        <f t="shared" si="7"/>
        <v>0</v>
      </c>
      <c r="AF35">
        <f t="shared" si="0"/>
        <v>18000000</v>
      </c>
    </row>
    <row r="36" spans="1:32" x14ac:dyDescent="0.35">
      <c r="A36" s="1">
        <v>0</v>
      </c>
      <c r="B36" t="s">
        <v>105</v>
      </c>
      <c r="C36" t="s">
        <v>10</v>
      </c>
      <c r="D36" t="s">
        <v>39</v>
      </c>
      <c r="E36" t="s">
        <v>33</v>
      </c>
      <c r="F36" t="s">
        <v>36</v>
      </c>
      <c r="G36">
        <v>33</v>
      </c>
      <c r="H36" t="s">
        <v>106</v>
      </c>
      <c r="I36">
        <v>2.7818140983581543</v>
      </c>
      <c r="J36">
        <v>1.8057085275650024</v>
      </c>
      <c r="K36">
        <v>3</v>
      </c>
      <c r="L36">
        <v>60000000</v>
      </c>
      <c r="M36">
        <v>20000000</v>
      </c>
      <c r="N36">
        <v>21050000</v>
      </c>
      <c r="O36" t="s">
        <v>36</v>
      </c>
      <c r="P36">
        <v>3</v>
      </c>
      <c r="Q36">
        <v>75000000</v>
      </c>
      <c r="R36">
        <v>22009731</v>
      </c>
      <c r="S36">
        <f t="shared" si="8"/>
        <v>1</v>
      </c>
      <c r="T36">
        <f t="shared" si="9"/>
        <v>1</v>
      </c>
      <c r="U36">
        <f t="shared" si="1"/>
        <v>0</v>
      </c>
      <c r="V36">
        <v>0</v>
      </c>
      <c r="W36">
        <f t="shared" si="2"/>
        <v>0</v>
      </c>
      <c r="X36">
        <f t="shared" si="3"/>
        <v>0</v>
      </c>
      <c r="Y36">
        <f t="shared" si="4"/>
        <v>0</v>
      </c>
      <c r="Z36">
        <f t="shared" si="5"/>
        <v>0</v>
      </c>
      <c r="AA36">
        <f t="shared" si="10"/>
        <v>0</v>
      </c>
      <c r="AB36">
        <f t="shared" si="11"/>
        <v>0</v>
      </c>
      <c r="AC36">
        <f t="shared" si="12"/>
        <v>0</v>
      </c>
      <c r="AD36">
        <f t="shared" si="6"/>
        <v>0</v>
      </c>
      <c r="AE36">
        <f t="shared" si="7"/>
        <v>0</v>
      </c>
      <c r="AF36">
        <f t="shared" si="0"/>
        <v>20000000</v>
      </c>
    </row>
    <row r="37" spans="1:32" x14ac:dyDescent="0.35">
      <c r="A37" s="1">
        <v>0</v>
      </c>
      <c r="B37" t="s">
        <v>69</v>
      </c>
      <c r="C37" t="s">
        <v>10</v>
      </c>
      <c r="D37" t="s">
        <v>33</v>
      </c>
      <c r="E37" t="s">
        <v>39</v>
      </c>
      <c r="F37" t="s">
        <v>70</v>
      </c>
      <c r="G37">
        <v>34</v>
      </c>
      <c r="H37" t="s">
        <v>71</v>
      </c>
      <c r="I37">
        <v>3.3970968723297119</v>
      </c>
      <c r="J37">
        <v>1.7099204063415527</v>
      </c>
      <c r="K37">
        <v>2</v>
      </c>
      <c r="L37">
        <v>32000000</v>
      </c>
      <c r="M37">
        <v>16000000</v>
      </c>
      <c r="N37">
        <v>21050000</v>
      </c>
      <c r="O37" t="s">
        <v>70</v>
      </c>
      <c r="P37">
        <v>1</v>
      </c>
      <c r="Q37">
        <v>21050000</v>
      </c>
      <c r="R37">
        <v>21050000</v>
      </c>
      <c r="S37">
        <f t="shared" si="8"/>
        <v>1</v>
      </c>
      <c r="T37">
        <f t="shared" si="9"/>
        <v>1</v>
      </c>
      <c r="U37">
        <f t="shared" si="1"/>
        <v>0</v>
      </c>
      <c r="V37">
        <v>0</v>
      </c>
      <c r="W37">
        <f t="shared" si="2"/>
        <v>0</v>
      </c>
      <c r="X37">
        <f t="shared" si="3"/>
        <v>0</v>
      </c>
      <c r="Y37">
        <f t="shared" si="4"/>
        <v>0</v>
      </c>
      <c r="Z37">
        <f t="shared" si="5"/>
        <v>0</v>
      </c>
      <c r="AA37">
        <f t="shared" si="10"/>
        <v>0</v>
      </c>
      <c r="AB37">
        <f t="shared" si="11"/>
        <v>0</v>
      </c>
      <c r="AC37">
        <f t="shared" si="12"/>
        <v>0</v>
      </c>
      <c r="AD37">
        <f t="shared" si="6"/>
        <v>0</v>
      </c>
      <c r="AE37">
        <f t="shared" si="7"/>
        <v>0</v>
      </c>
      <c r="AF37">
        <f t="shared" si="0"/>
        <v>16000000</v>
      </c>
    </row>
    <row r="38" spans="1:32" x14ac:dyDescent="0.35">
      <c r="A38" s="1">
        <v>0</v>
      </c>
      <c r="B38" t="s">
        <v>269</v>
      </c>
      <c r="C38" t="s">
        <v>10</v>
      </c>
      <c r="D38" t="s">
        <v>33</v>
      </c>
      <c r="E38" t="s">
        <v>33</v>
      </c>
      <c r="F38" t="s">
        <v>102</v>
      </c>
      <c r="G38">
        <v>34</v>
      </c>
      <c r="H38" t="s">
        <v>270</v>
      </c>
      <c r="I38">
        <v>0.89194542169570923</v>
      </c>
      <c r="J38">
        <v>1.7064907550811768</v>
      </c>
      <c r="K38">
        <v>2</v>
      </c>
      <c r="L38">
        <v>18000000</v>
      </c>
      <c r="M38">
        <v>9000000</v>
      </c>
      <c r="O38" t="s">
        <v>104</v>
      </c>
      <c r="P38">
        <v>2</v>
      </c>
      <c r="Q38">
        <v>29000000</v>
      </c>
      <c r="R38">
        <v>14500000</v>
      </c>
      <c r="S38">
        <f t="shared" si="8"/>
        <v>0</v>
      </c>
      <c r="T38">
        <f t="shared" si="9"/>
        <v>1</v>
      </c>
      <c r="U38">
        <f t="shared" si="1"/>
        <v>0</v>
      </c>
      <c r="V38">
        <v>0</v>
      </c>
      <c r="W38">
        <f t="shared" si="2"/>
        <v>0</v>
      </c>
      <c r="X38">
        <f t="shared" si="3"/>
        <v>0</v>
      </c>
      <c r="Y38">
        <f t="shared" si="4"/>
        <v>0</v>
      </c>
      <c r="Z38">
        <f t="shared" si="5"/>
        <v>0</v>
      </c>
      <c r="AA38">
        <f t="shared" si="10"/>
        <v>0</v>
      </c>
      <c r="AB38">
        <f t="shared" si="11"/>
        <v>0</v>
      </c>
      <c r="AC38">
        <f t="shared" si="12"/>
        <v>0</v>
      </c>
      <c r="AD38">
        <f t="shared" si="6"/>
        <v>0</v>
      </c>
      <c r="AE38">
        <f t="shared" si="7"/>
        <v>0</v>
      </c>
      <c r="AF38">
        <f t="shared" si="0"/>
        <v>9000000</v>
      </c>
    </row>
    <row r="39" spans="1:32" x14ac:dyDescent="0.35">
      <c r="A39" s="1">
        <v>0</v>
      </c>
      <c r="B39" t="s">
        <v>94</v>
      </c>
      <c r="C39" t="s">
        <v>95</v>
      </c>
      <c r="D39" t="s">
        <v>33</v>
      </c>
      <c r="E39" t="s">
        <v>33</v>
      </c>
      <c r="F39" t="s">
        <v>58</v>
      </c>
      <c r="G39">
        <v>33</v>
      </c>
      <c r="H39" t="s">
        <v>96</v>
      </c>
      <c r="I39">
        <v>2.9881842136383057</v>
      </c>
      <c r="J39">
        <v>1.6810855865478516</v>
      </c>
      <c r="K39">
        <v>2</v>
      </c>
      <c r="L39">
        <v>28000000</v>
      </c>
      <c r="M39">
        <v>14000000</v>
      </c>
      <c r="O39" t="s">
        <v>97</v>
      </c>
      <c r="P39">
        <v>2</v>
      </c>
      <c r="Q39">
        <v>37000000</v>
      </c>
      <c r="R39">
        <v>18500000</v>
      </c>
      <c r="S39">
        <f t="shared" si="8"/>
        <v>0</v>
      </c>
      <c r="T39">
        <f t="shared" si="9"/>
        <v>0</v>
      </c>
      <c r="U39">
        <f t="shared" si="1"/>
        <v>0</v>
      </c>
      <c r="V39">
        <v>0</v>
      </c>
      <c r="W39">
        <f t="shared" si="2"/>
        <v>0</v>
      </c>
      <c r="X39">
        <f t="shared" si="3"/>
        <v>0</v>
      </c>
      <c r="Y39">
        <f t="shared" si="4"/>
        <v>0</v>
      </c>
      <c r="Z39">
        <f t="shared" si="5"/>
        <v>0</v>
      </c>
      <c r="AA39">
        <f t="shared" si="10"/>
        <v>1</v>
      </c>
      <c r="AB39">
        <f t="shared" si="11"/>
        <v>0</v>
      </c>
      <c r="AC39">
        <f t="shared" si="12"/>
        <v>1</v>
      </c>
      <c r="AD39">
        <f t="shared" si="6"/>
        <v>0</v>
      </c>
      <c r="AE39">
        <f t="shared" si="7"/>
        <v>1</v>
      </c>
      <c r="AF39">
        <f t="shared" si="0"/>
        <v>14000000</v>
      </c>
    </row>
    <row r="40" spans="1:32" x14ac:dyDescent="0.35">
      <c r="A40" s="1">
        <v>0</v>
      </c>
      <c r="B40" t="s">
        <v>127</v>
      </c>
      <c r="C40" t="s">
        <v>10</v>
      </c>
      <c r="D40" t="s">
        <v>39</v>
      </c>
      <c r="E40" t="s">
        <v>39</v>
      </c>
      <c r="F40" t="s">
        <v>36</v>
      </c>
      <c r="G40">
        <v>31</v>
      </c>
      <c r="H40" t="s">
        <v>128</v>
      </c>
      <c r="I40">
        <v>2.1073484420776367</v>
      </c>
      <c r="J40">
        <v>1.5633713006973267</v>
      </c>
      <c r="K40">
        <v>3</v>
      </c>
      <c r="L40">
        <v>48000000</v>
      </c>
      <c r="M40">
        <v>16000000</v>
      </c>
      <c r="N40">
        <v>21050000</v>
      </c>
      <c r="O40" t="s">
        <v>129</v>
      </c>
      <c r="P40">
        <v>3</v>
      </c>
      <c r="Q40">
        <v>67000000</v>
      </c>
      <c r="R40">
        <v>22333333.333333328</v>
      </c>
      <c r="S40">
        <f t="shared" si="8"/>
        <v>1</v>
      </c>
      <c r="T40">
        <f t="shared" si="9"/>
        <v>1</v>
      </c>
      <c r="U40">
        <f t="shared" si="1"/>
        <v>0</v>
      </c>
      <c r="V40">
        <v>0</v>
      </c>
      <c r="W40">
        <f t="shared" si="2"/>
        <v>0</v>
      </c>
      <c r="X40">
        <f t="shared" si="3"/>
        <v>0</v>
      </c>
      <c r="Y40">
        <f t="shared" si="4"/>
        <v>0</v>
      </c>
      <c r="Z40">
        <f t="shared" si="5"/>
        <v>0</v>
      </c>
      <c r="AA40">
        <f t="shared" si="10"/>
        <v>0</v>
      </c>
      <c r="AB40">
        <f t="shared" si="11"/>
        <v>0</v>
      </c>
      <c r="AC40">
        <f t="shared" si="12"/>
        <v>0</v>
      </c>
      <c r="AD40">
        <f t="shared" si="6"/>
        <v>0</v>
      </c>
      <c r="AE40">
        <f t="shared" si="7"/>
        <v>0</v>
      </c>
      <c r="AF40">
        <f t="shared" si="0"/>
        <v>16000000</v>
      </c>
    </row>
    <row r="41" spans="1:32" x14ac:dyDescent="0.35">
      <c r="A41" s="1">
        <v>0</v>
      </c>
      <c r="B41" t="s">
        <v>115</v>
      </c>
      <c r="C41" t="s">
        <v>116</v>
      </c>
      <c r="D41" t="s">
        <v>39</v>
      </c>
      <c r="E41" t="s">
        <v>39</v>
      </c>
      <c r="F41" t="s">
        <v>53</v>
      </c>
      <c r="G41">
        <v>30</v>
      </c>
      <c r="H41" t="s">
        <v>117</v>
      </c>
      <c r="I41">
        <v>2.5528674125671387</v>
      </c>
      <c r="J41">
        <v>1.5265672206878662</v>
      </c>
      <c r="K41">
        <v>3</v>
      </c>
      <c r="L41">
        <v>51000000</v>
      </c>
      <c r="M41">
        <v>17000000</v>
      </c>
      <c r="O41" t="s">
        <v>56</v>
      </c>
      <c r="P41">
        <v>3</v>
      </c>
      <c r="Q41">
        <v>49500000</v>
      </c>
      <c r="R41">
        <v>16500000</v>
      </c>
      <c r="S41">
        <f t="shared" si="8"/>
        <v>0</v>
      </c>
      <c r="T41">
        <f t="shared" si="9"/>
        <v>0</v>
      </c>
      <c r="U41">
        <f t="shared" si="1"/>
        <v>0</v>
      </c>
      <c r="V41">
        <v>0</v>
      </c>
      <c r="W41">
        <f t="shared" si="2"/>
        <v>0</v>
      </c>
      <c r="X41">
        <f t="shared" si="3"/>
        <v>0</v>
      </c>
      <c r="Y41">
        <f t="shared" si="4"/>
        <v>0</v>
      </c>
      <c r="Z41">
        <f t="shared" si="5"/>
        <v>0</v>
      </c>
      <c r="AA41">
        <f t="shared" si="10"/>
        <v>1</v>
      </c>
      <c r="AB41">
        <f t="shared" si="11"/>
        <v>1</v>
      </c>
      <c r="AC41">
        <f t="shared" si="12"/>
        <v>1</v>
      </c>
      <c r="AD41">
        <f t="shared" si="6"/>
        <v>0</v>
      </c>
      <c r="AE41">
        <f t="shared" si="7"/>
        <v>0</v>
      </c>
      <c r="AF41">
        <f t="shared" si="0"/>
        <v>17000000</v>
      </c>
    </row>
    <row r="42" spans="1:32" x14ac:dyDescent="0.35">
      <c r="A42" s="1">
        <v>0</v>
      </c>
      <c r="B42" t="s">
        <v>453</v>
      </c>
      <c r="C42" t="s">
        <v>10</v>
      </c>
      <c r="D42" t="s">
        <v>39</v>
      </c>
      <c r="E42" t="s">
        <v>39</v>
      </c>
      <c r="F42" t="s">
        <v>102</v>
      </c>
      <c r="G42">
        <v>37</v>
      </c>
      <c r="H42" t="s">
        <v>454</v>
      </c>
      <c r="I42">
        <v>0.27441394329071045</v>
      </c>
      <c r="J42">
        <v>1.5192273855209351</v>
      </c>
      <c r="K42">
        <v>1</v>
      </c>
      <c r="L42">
        <v>10000000</v>
      </c>
      <c r="M42">
        <v>10000000</v>
      </c>
      <c r="O42" t="s">
        <v>78</v>
      </c>
      <c r="P42">
        <v>1</v>
      </c>
      <c r="Q42">
        <v>15000000</v>
      </c>
      <c r="R42">
        <v>15000000</v>
      </c>
      <c r="S42">
        <f t="shared" si="8"/>
        <v>0</v>
      </c>
      <c r="T42">
        <f t="shared" si="9"/>
        <v>1</v>
      </c>
      <c r="U42">
        <f t="shared" si="1"/>
        <v>0</v>
      </c>
      <c r="V42">
        <v>0</v>
      </c>
      <c r="W42">
        <f t="shared" si="2"/>
        <v>0</v>
      </c>
      <c r="X42">
        <f t="shared" si="3"/>
        <v>0</v>
      </c>
      <c r="Y42">
        <f t="shared" si="4"/>
        <v>0</v>
      </c>
      <c r="Z42">
        <f t="shared" si="5"/>
        <v>0</v>
      </c>
      <c r="AA42">
        <f t="shared" si="10"/>
        <v>0</v>
      </c>
      <c r="AB42">
        <f t="shared" si="11"/>
        <v>0</v>
      </c>
      <c r="AC42">
        <f t="shared" si="12"/>
        <v>0</v>
      </c>
      <c r="AD42">
        <f t="shared" si="6"/>
        <v>0</v>
      </c>
      <c r="AE42">
        <f t="shared" si="7"/>
        <v>0</v>
      </c>
      <c r="AF42">
        <f t="shared" si="0"/>
        <v>10000000</v>
      </c>
    </row>
    <row r="43" spans="1:32" x14ac:dyDescent="0.35">
      <c r="A43" s="1">
        <v>0</v>
      </c>
      <c r="B43" t="s">
        <v>360</v>
      </c>
      <c r="C43" t="s">
        <v>3</v>
      </c>
      <c r="D43" t="s">
        <v>39</v>
      </c>
      <c r="E43" t="s">
        <v>39</v>
      </c>
      <c r="F43" t="s">
        <v>53</v>
      </c>
      <c r="G43">
        <v>30</v>
      </c>
      <c r="H43" t="s">
        <v>361</v>
      </c>
      <c r="I43">
        <v>0.53368353843688965</v>
      </c>
      <c r="J43">
        <v>1.5189570188522339</v>
      </c>
      <c r="K43">
        <v>2</v>
      </c>
      <c r="L43">
        <v>16000000</v>
      </c>
      <c r="M43">
        <v>8000000</v>
      </c>
      <c r="O43" t="s">
        <v>110</v>
      </c>
      <c r="P43">
        <v>1</v>
      </c>
      <c r="Q43">
        <v>8500000</v>
      </c>
      <c r="R43">
        <v>8500000</v>
      </c>
      <c r="S43">
        <f t="shared" si="8"/>
        <v>0</v>
      </c>
      <c r="T43">
        <f t="shared" si="9"/>
        <v>0</v>
      </c>
      <c r="U43">
        <f t="shared" si="1"/>
        <v>0</v>
      </c>
      <c r="V43">
        <v>1</v>
      </c>
      <c r="W43">
        <f t="shared" si="2"/>
        <v>0</v>
      </c>
      <c r="X43">
        <f t="shared" si="3"/>
        <v>0</v>
      </c>
      <c r="Y43">
        <f t="shared" si="4"/>
        <v>0</v>
      </c>
      <c r="Z43">
        <f t="shared" si="5"/>
        <v>0</v>
      </c>
      <c r="AA43">
        <f t="shared" si="10"/>
        <v>0</v>
      </c>
      <c r="AB43">
        <f t="shared" si="11"/>
        <v>0</v>
      </c>
      <c r="AC43">
        <f t="shared" si="12"/>
        <v>0</v>
      </c>
      <c r="AD43">
        <f t="shared" si="6"/>
        <v>0</v>
      </c>
      <c r="AE43">
        <f t="shared" si="7"/>
        <v>0</v>
      </c>
      <c r="AF43">
        <f t="shared" si="0"/>
        <v>8000000</v>
      </c>
    </row>
    <row r="44" spans="1:32" x14ac:dyDescent="0.35">
      <c r="A44" s="1">
        <v>0</v>
      </c>
      <c r="B44" t="s">
        <v>296</v>
      </c>
      <c r="C44" t="s">
        <v>10</v>
      </c>
      <c r="D44" t="s">
        <v>39</v>
      </c>
      <c r="E44" t="s">
        <v>39</v>
      </c>
      <c r="F44" t="s">
        <v>102</v>
      </c>
      <c r="G44">
        <v>30</v>
      </c>
      <c r="H44" t="s">
        <v>297</v>
      </c>
      <c r="I44">
        <v>0.76937061548233032</v>
      </c>
      <c r="J44">
        <v>1.4984276294708252</v>
      </c>
      <c r="K44">
        <v>2</v>
      </c>
      <c r="L44">
        <v>40000000</v>
      </c>
      <c r="M44">
        <v>20000000</v>
      </c>
      <c r="O44" t="s">
        <v>102</v>
      </c>
      <c r="P44">
        <v>2</v>
      </c>
      <c r="Q44">
        <v>26000000</v>
      </c>
      <c r="R44">
        <v>14555102</v>
      </c>
      <c r="S44">
        <f t="shared" si="8"/>
        <v>0</v>
      </c>
      <c r="T44">
        <f t="shared" si="9"/>
        <v>1</v>
      </c>
      <c r="U44">
        <f t="shared" si="1"/>
        <v>0</v>
      </c>
      <c r="V44">
        <v>0</v>
      </c>
      <c r="W44">
        <f t="shared" si="2"/>
        <v>0</v>
      </c>
      <c r="X44">
        <f t="shared" si="3"/>
        <v>0</v>
      </c>
      <c r="Y44">
        <f t="shared" si="4"/>
        <v>0</v>
      </c>
      <c r="Z44">
        <f t="shared" si="5"/>
        <v>0</v>
      </c>
      <c r="AA44">
        <f t="shared" si="10"/>
        <v>0</v>
      </c>
      <c r="AB44">
        <f t="shared" si="11"/>
        <v>0</v>
      </c>
      <c r="AC44">
        <f t="shared" si="12"/>
        <v>0</v>
      </c>
      <c r="AD44">
        <f t="shared" si="6"/>
        <v>0</v>
      </c>
      <c r="AE44">
        <f t="shared" si="7"/>
        <v>0</v>
      </c>
      <c r="AF44">
        <f t="shared" si="0"/>
        <v>20000000</v>
      </c>
    </row>
    <row r="45" spans="1:32" x14ac:dyDescent="0.35">
      <c r="A45" s="1">
        <v>1</v>
      </c>
      <c r="B45" t="s">
        <v>165</v>
      </c>
      <c r="C45" t="s">
        <v>3</v>
      </c>
      <c r="D45" t="s">
        <v>39</v>
      </c>
      <c r="E45" t="s">
        <v>39</v>
      </c>
      <c r="F45" t="s">
        <v>97</v>
      </c>
      <c r="G45">
        <v>30</v>
      </c>
      <c r="H45" t="s">
        <v>166</v>
      </c>
      <c r="I45">
        <v>1.769400954246521</v>
      </c>
      <c r="J45">
        <v>1.4981144666671753</v>
      </c>
      <c r="L45">
        <v>0</v>
      </c>
      <c r="O45" t="s">
        <v>104</v>
      </c>
      <c r="P45">
        <v>2</v>
      </c>
      <c r="Q45">
        <v>11500000</v>
      </c>
      <c r="R45">
        <v>5750000</v>
      </c>
      <c r="S45">
        <f t="shared" si="8"/>
        <v>0</v>
      </c>
      <c r="T45">
        <f t="shared" si="9"/>
        <v>0</v>
      </c>
      <c r="U45">
        <f t="shared" si="1"/>
        <v>0</v>
      </c>
      <c r="V45">
        <v>1</v>
      </c>
      <c r="W45">
        <f t="shared" si="2"/>
        <v>0</v>
      </c>
      <c r="X45">
        <f t="shared" si="3"/>
        <v>0</v>
      </c>
      <c r="Y45">
        <f t="shared" si="4"/>
        <v>0</v>
      </c>
      <c r="Z45">
        <f t="shared" si="5"/>
        <v>0</v>
      </c>
      <c r="AA45">
        <f t="shared" si="10"/>
        <v>0</v>
      </c>
      <c r="AB45">
        <f t="shared" si="11"/>
        <v>0</v>
      </c>
      <c r="AC45">
        <f t="shared" si="12"/>
        <v>0</v>
      </c>
      <c r="AD45">
        <f t="shared" si="6"/>
        <v>0</v>
      </c>
      <c r="AE45">
        <f t="shared" si="7"/>
        <v>0</v>
      </c>
      <c r="AF45">
        <f t="shared" si="0"/>
        <v>5750000</v>
      </c>
    </row>
    <row r="46" spans="1:32" x14ac:dyDescent="0.35">
      <c r="A46" s="1">
        <v>0</v>
      </c>
      <c r="B46" t="s">
        <v>123</v>
      </c>
      <c r="C46" t="s">
        <v>10</v>
      </c>
      <c r="D46" t="s">
        <v>33</v>
      </c>
      <c r="E46" t="s">
        <v>33</v>
      </c>
      <c r="F46" t="s">
        <v>97</v>
      </c>
      <c r="G46">
        <v>34</v>
      </c>
      <c r="H46" t="s">
        <v>124</v>
      </c>
      <c r="I46">
        <v>2.1737463474273682</v>
      </c>
      <c r="J46">
        <v>1.4836716651916504</v>
      </c>
      <c r="K46">
        <v>2</v>
      </c>
      <c r="L46">
        <v>25000000</v>
      </c>
      <c r="M46">
        <v>12500000</v>
      </c>
      <c r="O46" t="s">
        <v>125</v>
      </c>
      <c r="P46">
        <v>1</v>
      </c>
      <c r="Q46">
        <v>5250000</v>
      </c>
      <c r="R46">
        <v>5250000</v>
      </c>
      <c r="S46">
        <f t="shared" si="8"/>
        <v>0</v>
      </c>
      <c r="T46">
        <f t="shared" si="9"/>
        <v>1</v>
      </c>
      <c r="U46">
        <f t="shared" si="1"/>
        <v>0</v>
      </c>
      <c r="V46">
        <v>0</v>
      </c>
      <c r="W46">
        <f t="shared" si="2"/>
        <v>0</v>
      </c>
      <c r="X46">
        <f t="shared" si="3"/>
        <v>0</v>
      </c>
      <c r="Y46">
        <f t="shared" si="4"/>
        <v>0</v>
      </c>
      <c r="Z46">
        <f t="shared" si="5"/>
        <v>0</v>
      </c>
      <c r="AA46">
        <f t="shared" si="10"/>
        <v>0</v>
      </c>
      <c r="AB46">
        <f t="shared" si="11"/>
        <v>0</v>
      </c>
      <c r="AC46">
        <f t="shared" si="12"/>
        <v>0</v>
      </c>
      <c r="AD46">
        <f t="shared" si="6"/>
        <v>0</v>
      </c>
      <c r="AE46">
        <f t="shared" si="7"/>
        <v>0</v>
      </c>
      <c r="AF46">
        <f t="shared" si="0"/>
        <v>12500000</v>
      </c>
    </row>
    <row r="47" spans="1:32" x14ac:dyDescent="0.35">
      <c r="A47" s="1">
        <v>0</v>
      </c>
      <c r="B47" t="s">
        <v>312</v>
      </c>
      <c r="C47" t="s">
        <v>10</v>
      </c>
      <c r="D47" t="s">
        <v>39</v>
      </c>
      <c r="E47" t="s">
        <v>39</v>
      </c>
      <c r="F47" t="s">
        <v>51</v>
      </c>
      <c r="G47">
        <v>42</v>
      </c>
      <c r="H47" t="s">
        <v>313</v>
      </c>
      <c r="I47">
        <v>0.67786359786987305</v>
      </c>
      <c r="J47">
        <v>1.3841989040374756</v>
      </c>
      <c r="K47">
        <v>1</v>
      </c>
      <c r="L47">
        <v>15000000</v>
      </c>
      <c r="M47">
        <v>15000000</v>
      </c>
      <c r="O47" t="s">
        <v>42</v>
      </c>
      <c r="P47">
        <v>1</v>
      </c>
      <c r="Q47">
        <v>15000000</v>
      </c>
      <c r="R47">
        <v>15000000</v>
      </c>
      <c r="S47">
        <f t="shared" si="8"/>
        <v>0</v>
      </c>
      <c r="T47">
        <f t="shared" si="9"/>
        <v>1</v>
      </c>
      <c r="U47">
        <f t="shared" si="1"/>
        <v>0</v>
      </c>
      <c r="V47">
        <v>0</v>
      </c>
      <c r="W47">
        <f t="shared" si="2"/>
        <v>0</v>
      </c>
      <c r="X47">
        <f t="shared" si="3"/>
        <v>0</v>
      </c>
      <c r="Y47">
        <f t="shared" si="4"/>
        <v>0</v>
      </c>
      <c r="Z47">
        <f t="shared" si="5"/>
        <v>0</v>
      </c>
      <c r="AA47">
        <f t="shared" si="10"/>
        <v>0</v>
      </c>
      <c r="AB47">
        <f t="shared" si="11"/>
        <v>0</v>
      </c>
      <c r="AC47">
        <f t="shared" si="12"/>
        <v>0</v>
      </c>
      <c r="AD47">
        <f t="shared" si="6"/>
        <v>0</v>
      </c>
      <c r="AE47">
        <f t="shared" si="7"/>
        <v>0</v>
      </c>
      <c r="AF47">
        <f t="shared" si="0"/>
        <v>15000000</v>
      </c>
    </row>
    <row r="48" spans="1:32" x14ac:dyDescent="0.35">
      <c r="A48" s="1">
        <v>0</v>
      </c>
      <c r="B48" t="s">
        <v>624</v>
      </c>
      <c r="C48" t="s">
        <v>10</v>
      </c>
      <c r="D48" t="s">
        <v>39</v>
      </c>
      <c r="E48" t="s">
        <v>39</v>
      </c>
      <c r="F48" t="s">
        <v>66</v>
      </c>
      <c r="G48">
        <v>30</v>
      </c>
      <c r="H48" t="s">
        <v>625</v>
      </c>
      <c r="I48">
        <v>-9.5986157655715942E-2</v>
      </c>
      <c r="J48">
        <v>1.3838760852813721</v>
      </c>
      <c r="K48">
        <v>1</v>
      </c>
      <c r="L48">
        <v>15000000</v>
      </c>
      <c r="M48">
        <v>15000000</v>
      </c>
      <c r="O48" t="s">
        <v>53</v>
      </c>
      <c r="P48">
        <v>1</v>
      </c>
      <c r="Q48">
        <v>21050000</v>
      </c>
      <c r="R48">
        <v>21050000</v>
      </c>
      <c r="S48">
        <f t="shared" si="8"/>
        <v>0</v>
      </c>
      <c r="T48">
        <f t="shared" si="9"/>
        <v>1</v>
      </c>
      <c r="U48">
        <f t="shared" si="1"/>
        <v>0</v>
      </c>
      <c r="V48">
        <v>0</v>
      </c>
      <c r="W48">
        <f t="shared" si="2"/>
        <v>0</v>
      </c>
      <c r="X48">
        <f t="shared" si="3"/>
        <v>0</v>
      </c>
      <c r="Y48">
        <f t="shared" si="4"/>
        <v>0</v>
      </c>
      <c r="Z48">
        <f t="shared" si="5"/>
        <v>0</v>
      </c>
      <c r="AA48">
        <f t="shared" si="10"/>
        <v>0</v>
      </c>
      <c r="AB48">
        <f t="shared" si="11"/>
        <v>0</v>
      </c>
      <c r="AC48">
        <f t="shared" si="12"/>
        <v>0</v>
      </c>
      <c r="AD48">
        <f t="shared" si="6"/>
        <v>0</v>
      </c>
      <c r="AE48">
        <f t="shared" si="7"/>
        <v>0</v>
      </c>
      <c r="AF48">
        <f t="shared" si="0"/>
        <v>15000000</v>
      </c>
    </row>
    <row r="49" spans="1:32" x14ac:dyDescent="0.35">
      <c r="A49" s="1">
        <v>0</v>
      </c>
      <c r="B49" t="s">
        <v>624</v>
      </c>
      <c r="C49" t="s">
        <v>10</v>
      </c>
      <c r="D49" t="s">
        <v>39</v>
      </c>
      <c r="E49" t="s">
        <v>39</v>
      </c>
      <c r="F49" t="s">
        <v>66</v>
      </c>
      <c r="G49">
        <v>30</v>
      </c>
      <c r="H49" t="s">
        <v>625</v>
      </c>
      <c r="I49">
        <v>-9.5986157655715942E-2</v>
      </c>
      <c r="J49">
        <v>1.3838760852813721</v>
      </c>
      <c r="K49">
        <v>1</v>
      </c>
      <c r="L49">
        <v>15000000</v>
      </c>
      <c r="M49">
        <v>15000000</v>
      </c>
      <c r="O49" t="s">
        <v>134</v>
      </c>
      <c r="P49">
        <v>1</v>
      </c>
      <c r="Q49">
        <v>69462</v>
      </c>
      <c r="R49">
        <v>69462</v>
      </c>
      <c r="S49">
        <f t="shared" si="8"/>
        <v>0</v>
      </c>
      <c r="T49">
        <f t="shared" si="9"/>
        <v>1</v>
      </c>
      <c r="U49">
        <f t="shared" si="1"/>
        <v>0</v>
      </c>
      <c r="V49">
        <v>0</v>
      </c>
      <c r="W49">
        <f t="shared" si="2"/>
        <v>0</v>
      </c>
      <c r="X49">
        <f t="shared" si="3"/>
        <v>0</v>
      </c>
      <c r="Y49">
        <f t="shared" si="4"/>
        <v>0</v>
      </c>
      <c r="Z49">
        <f t="shared" si="5"/>
        <v>0</v>
      </c>
      <c r="AA49">
        <f t="shared" si="10"/>
        <v>0</v>
      </c>
      <c r="AB49">
        <f t="shared" si="11"/>
        <v>0</v>
      </c>
      <c r="AC49">
        <f t="shared" si="12"/>
        <v>0</v>
      </c>
      <c r="AD49">
        <f t="shared" si="6"/>
        <v>0</v>
      </c>
      <c r="AE49">
        <f t="shared" si="7"/>
        <v>0</v>
      </c>
      <c r="AF49">
        <f t="shared" si="0"/>
        <v>15000000</v>
      </c>
    </row>
    <row r="50" spans="1:32" x14ac:dyDescent="0.35">
      <c r="A50" s="1">
        <v>0</v>
      </c>
      <c r="B50" t="s">
        <v>228</v>
      </c>
      <c r="C50" t="s">
        <v>10</v>
      </c>
      <c r="D50" t="s">
        <v>39</v>
      </c>
      <c r="E50" t="s">
        <v>39</v>
      </c>
      <c r="F50" t="s">
        <v>48</v>
      </c>
      <c r="G50">
        <v>41</v>
      </c>
      <c r="H50" t="s">
        <v>229</v>
      </c>
      <c r="I50">
        <v>1.1207062005996704</v>
      </c>
      <c r="J50">
        <v>1.3801397085189819</v>
      </c>
      <c r="K50">
        <v>1</v>
      </c>
      <c r="L50">
        <v>14000000</v>
      </c>
      <c r="M50">
        <v>14000000</v>
      </c>
      <c r="O50" t="s">
        <v>56</v>
      </c>
      <c r="P50">
        <v>1</v>
      </c>
      <c r="Q50">
        <v>15000000</v>
      </c>
      <c r="R50">
        <v>15000000</v>
      </c>
      <c r="S50">
        <f t="shared" si="8"/>
        <v>0</v>
      </c>
      <c r="T50">
        <f t="shared" si="9"/>
        <v>1</v>
      </c>
      <c r="U50">
        <f t="shared" si="1"/>
        <v>0</v>
      </c>
      <c r="V50">
        <v>0</v>
      </c>
      <c r="W50">
        <f t="shared" si="2"/>
        <v>0</v>
      </c>
      <c r="X50">
        <f t="shared" si="3"/>
        <v>0</v>
      </c>
      <c r="Y50">
        <f t="shared" si="4"/>
        <v>0</v>
      </c>
      <c r="Z50">
        <f t="shared" si="5"/>
        <v>0</v>
      </c>
      <c r="AA50">
        <f t="shared" si="10"/>
        <v>0</v>
      </c>
      <c r="AB50">
        <f t="shared" si="11"/>
        <v>0</v>
      </c>
      <c r="AC50">
        <f t="shared" si="12"/>
        <v>0</v>
      </c>
      <c r="AD50">
        <f t="shared" si="6"/>
        <v>0</v>
      </c>
      <c r="AE50">
        <f t="shared" si="7"/>
        <v>0</v>
      </c>
      <c r="AF50">
        <f t="shared" si="0"/>
        <v>14000000</v>
      </c>
    </row>
    <row r="51" spans="1:32" x14ac:dyDescent="0.35">
      <c r="A51" s="1">
        <v>0</v>
      </c>
      <c r="B51" t="s">
        <v>176</v>
      </c>
      <c r="C51" t="s">
        <v>3</v>
      </c>
      <c r="D51" t="s">
        <v>39</v>
      </c>
      <c r="E51" t="s">
        <v>39</v>
      </c>
      <c r="F51" t="s">
        <v>46</v>
      </c>
      <c r="G51">
        <v>35</v>
      </c>
      <c r="H51" t="s">
        <v>177</v>
      </c>
      <c r="I51">
        <v>1.5625476837158203</v>
      </c>
      <c r="J51">
        <v>1.2703454494476318</v>
      </c>
      <c r="L51">
        <v>0</v>
      </c>
      <c r="O51" t="s">
        <v>97</v>
      </c>
      <c r="P51">
        <v>2</v>
      </c>
      <c r="Q51">
        <v>13500000</v>
      </c>
      <c r="R51">
        <v>6750000</v>
      </c>
      <c r="S51">
        <f t="shared" si="8"/>
        <v>0</v>
      </c>
      <c r="T51">
        <f t="shared" si="9"/>
        <v>0</v>
      </c>
      <c r="U51">
        <f t="shared" si="1"/>
        <v>0</v>
      </c>
      <c r="V51">
        <v>1</v>
      </c>
      <c r="W51">
        <f t="shared" si="2"/>
        <v>0</v>
      </c>
      <c r="X51">
        <f t="shared" si="3"/>
        <v>0</v>
      </c>
      <c r="Y51">
        <f t="shared" si="4"/>
        <v>0</v>
      </c>
      <c r="Z51">
        <f t="shared" si="5"/>
        <v>0</v>
      </c>
      <c r="AA51">
        <f t="shared" si="10"/>
        <v>0</v>
      </c>
      <c r="AB51">
        <f t="shared" si="11"/>
        <v>0</v>
      </c>
      <c r="AC51">
        <f t="shared" si="12"/>
        <v>0</v>
      </c>
      <c r="AD51">
        <f t="shared" si="6"/>
        <v>0</v>
      </c>
      <c r="AE51">
        <f t="shared" si="7"/>
        <v>0</v>
      </c>
      <c r="AF51">
        <f t="shared" si="0"/>
        <v>6750000</v>
      </c>
    </row>
    <row r="52" spans="1:32" x14ac:dyDescent="0.35">
      <c r="A52" s="1">
        <v>0</v>
      </c>
      <c r="B52" t="s">
        <v>206</v>
      </c>
      <c r="C52" t="s">
        <v>10</v>
      </c>
      <c r="D52" t="s">
        <v>39</v>
      </c>
      <c r="E52" t="s">
        <v>39</v>
      </c>
      <c r="F52" t="s">
        <v>40</v>
      </c>
      <c r="G52">
        <v>32</v>
      </c>
      <c r="H52" t="s">
        <v>207</v>
      </c>
      <c r="I52">
        <v>1.287661075592041</v>
      </c>
      <c r="J52">
        <v>1.1883374452590942</v>
      </c>
      <c r="K52">
        <v>2</v>
      </c>
      <c r="L52">
        <v>26000000</v>
      </c>
      <c r="M52">
        <v>13000000</v>
      </c>
      <c r="O52" t="s">
        <v>36</v>
      </c>
      <c r="P52">
        <v>2</v>
      </c>
      <c r="Q52">
        <v>34000000</v>
      </c>
      <c r="R52">
        <v>17000000</v>
      </c>
      <c r="S52">
        <f t="shared" si="8"/>
        <v>0</v>
      </c>
      <c r="T52">
        <f t="shared" si="9"/>
        <v>1</v>
      </c>
      <c r="U52">
        <f t="shared" si="1"/>
        <v>0</v>
      </c>
      <c r="V52">
        <v>0</v>
      </c>
      <c r="W52">
        <f t="shared" si="2"/>
        <v>0</v>
      </c>
      <c r="X52">
        <f t="shared" si="3"/>
        <v>0</v>
      </c>
      <c r="Y52">
        <f t="shared" si="4"/>
        <v>0</v>
      </c>
      <c r="Z52">
        <f t="shared" si="5"/>
        <v>0</v>
      </c>
      <c r="AA52">
        <f t="shared" si="10"/>
        <v>0</v>
      </c>
      <c r="AB52">
        <f t="shared" si="11"/>
        <v>0</v>
      </c>
      <c r="AC52">
        <f t="shared" si="12"/>
        <v>0</v>
      </c>
      <c r="AD52">
        <f t="shared" si="6"/>
        <v>0</v>
      </c>
      <c r="AE52">
        <f t="shared" si="7"/>
        <v>0</v>
      </c>
      <c r="AF52">
        <f t="shared" si="0"/>
        <v>13000000</v>
      </c>
    </row>
    <row r="53" spans="1:32" x14ac:dyDescent="0.35">
      <c r="A53" s="1">
        <v>0</v>
      </c>
      <c r="B53" t="s">
        <v>240</v>
      </c>
      <c r="C53" t="s">
        <v>10</v>
      </c>
      <c r="D53" t="s">
        <v>39</v>
      </c>
      <c r="E53" t="s">
        <v>33</v>
      </c>
      <c r="F53" t="s">
        <v>36</v>
      </c>
      <c r="G53">
        <v>36</v>
      </c>
      <c r="H53" t="s">
        <v>241</v>
      </c>
      <c r="I53">
        <v>1.0541503429412842</v>
      </c>
      <c r="J53">
        <v>1.1716850996017456</v>
      </c>
      <c r="K53">
        <v>2</v>
      </c>
      <c r="L53">
        <v>24000000</v>
      </c>
      <c r="M53">
        <v>12000000</v>
      </c>
      <c r="O53" t="s">
        <v>40</v>
      </c>
      <c r="P53">
        <v>1</v>
      </c>
      <c r="Q53">
        <v>4250000</v>
      </c>
      <c r="R53">
        <v>4250000</v>
      </c>
      <c r="S53">
        <f t="shared" si="8"/>
        <v>0</v>
      </c>
      <c r="T53">
        <f t="shared" si="9"/>
        <v>1</v>
      </c>
      <c r="U53">
        <f t="shared" si="1"/>
        <v>0</v>
      </c>
      <c r="V53">
        <v>0</v>
      </c>
      <c r="W53">
        <f t="shared" si="2"/>
        <v>0</v>
      </c>
      <c r="X53">
        <f t="shared" si="3"/>
        <v>0</v>
      </c>
      <c r="Y53">
        <f t="shared" si="4"/>
        <v>0</v>
      </c>
      <c r="Z53">
        <f t="shared" si="5"/>
        <v>0</v>
      </c>
      <c r="AA53">
        <f t="shared" si="10"/>
        <v>0</v>
      </c>
      <c r="AB53">
        <f t="shared" si="11"/>
        <v>0</v>
      </c>
      <c r="AC53">
        <f t="shared" si="12"/>
        <v>0</v>
      </c>
      <c r="AD53">
        <f t="shared" si="6"/>
        <v>0</v>
      </c>
      <c r="AE53">
        <f t="shared" si="7"/>
        <v>0</v>
      </c>
      <c r="AF53">
        <f t="shared" si="0"/>
        <v>12000000</v>
      </c>
    </row>
    <row r="54" spans="1:32" x14ac:dyDescent="0.35">
      <c r="A54" s="1">
        <v>0</v>
      </c>
      <c r="B54" t="s">
        <v>153</v>
      </c>
      <c r="C54" t="s">
        <v>3</v>
      </c>
      <c r="D54" t="s">
        <v>39</v>
      </c>
      <c r="E54" t="s">
        <v>39</v>
      </c>
      <c r="F54" t="s">
        <v>48</v>
      </c>
      <c r="G54">
        <v>36</v>
      </c>
      <c r="H54" t="s">
        <v>154</v>
      </c>
      <c r="I54">
        <v>1.8475935459136963</v>
      </c>
      <c r="J54">
        <v>1.1399804353713989</v>
      </c>
      <c r="K54">
        <v>1</v>
      </c>
      <c r="L54">
        <v>7000000</v>
      </c>
      <c r="M54">
        <v>7000000</v>
      </c>
      <c r="O54" t="s">
        <v>62</v>
      </c>
      <c r="P54">
        <v>2</v>
      </c>
      <c r="Q54">
        <v>12000000</v>
      </c>
      <c r="R54">
        <v>6000000</v>
      </c>
      <c r="S54">
        <f t="shared" si="8"/>
        <v>0</v>
      </c>
      <c r="T54">
        <f t="shared" si="9"/>
        <v>0</v>
      </c>
      <c r="U54">
        <f t="shared" si="1"/>
        <v>0</v>
      </c>
      <c r="V54">
        <v>1</v>
      </c>
      <c r="W54">
        <f t="shared" si="2"/>
        <v>0</v>
      </c>
      <c r="X54">
        <f t="shared" si="3"/>
        <v>0</v>
      </c>
      <c r="Y54">
        <f t="shared" si="4"/>
        <v>0</v>
      </c>
      <c r="Z54">
        <f t="shared" si="5"/>
        <v>0</v>
      </c>
      <c r="AA54">
        <f t="shared" si="10"/>
        <v>0</v>
      </c>
      <c r="AB54">
        <f t="shared" si="11"/>
        <v>0</v>
      </c>
      <c r="AC54">
        <f t="shared" si="12"/>
        <v>0</v>
      </c>
      <c r="AD54">
        <f t="shared" si="6"/>
        <v>0</v>
      </c>
      <c r="AE54">
        <f t="shared" si="7"/>
        <v>0</v>
      </c>
      <c r="AF54">
        <f t="shared" si="0"/>
        <v>7000000</v>
      </c>
    </row>
    <row r="55" spans="1:32" x14ac:dyDescent="0.35">
      <c r="A55" s="1">
        <v>0</v>
      </c>
      <c r="B55" t="s">
        <v>197</v>
      </c>
      <c r="C55" t="s">
        <v>32</v>
      </c>
      <c r="D55" t="s">
        <v>33</v>
      </c>
      <c r="E55" t="s">
        <v>39</v>
      </c>
      <c r="F55" t="s">
        <v>42</v>
      </c>
      <c r="G55">
        <v>32</v>
      </c>
      <c r="H55" t="s">
        <v>198</v>
      </c>
      <c r="I55">
        <v>1.3144761323928833</v>
      </c>
      <c r="J55">
        <v>1.1102286577224731</v>
      </c>
      <c r="K55">
        <v>1</v>
      </c>
      <c r="L55">
        <v>12000000</v>
      </c>
      <c r="M55">
        <v>12000000</v>
      </c>
      <c r="O55" t="s">
        <v>66</v>
      </c>
      <c r="P55">
        <v>1</v>
      </c>
      <c r="Q55">
        <v>17000000</v>
      </c>
      <c r="R55">
        <v>17000000</v>
      </c>
      <c r="S55">
        <f t="shared" si="8"/>
        <v>0</v>
      </c>
      <c r="T55">
        <f t="shared" si="9"/>
        <v>0</v>
      </c>
      <c r="U55">
        <f t="shared" si="1"/>
        <v>0</v>
      </c>
      <c r="V55">
        <v>0</v>
      </c>
      <c r="W55">
        <f t="shared" si="2"/>
        <v>0</v>
      </c>
      <c r="X55">
        <f t="shared" si="3"/>
        <v>0</v>
      </c>
      <c r="Y55">
        <f t="shared" si="4"/>
        <v>0</v>
      </c>
      <c r="Z55">
        <f t="shared" si="5"/>
        <v>0</v>
      </c>
      <c r="AA55">
        <f t="shared" si="10"/>
        <v>1</v>
      </c>
      <c r="AB55">
        <f t="shared" si="11"/>
        <v>0</v>
      </c>
      <c r="AC55">
        <f t="shared" si="12"/>
        <v>1</v>
      </c>
      <c r="AD55">
        <f t="shared" si="6"/>
        <v>0</v>
      </c>
      <c r="AE55">
        <f t="shared" si="7"/>
        <v>0</v>
      </c>
      <c r="AF55">
        <f t="shared" si="0"/>
        <v>12000000</v>
      </c>
    </row>
    <row r="56" spans="1:32" x14ac:dyDescent="0.35">
      <c r="A56" s="1">
        <v>0</v>
      </c>
      <c r="B56" t="s">
        <v>321</v>
      </c>
      <c r="C56" t="s">
        <v>10</v>
      </c>
      <c r="D56" t="s">
        <v>33</v>
      </c>
      <c r="E56" t="s">
        <v>33</v>
      </c>
      <c r="F56" t="s">
        <v>66</v>
      </c>
      <c r="G56">
        <v>37</v>
      </c>
      <c r="H56" t="s">
        <v>322</v>
      </c>
      <c r="I56">
        <v>0.65915322303771973</v>
      </c>
      <c r="J56">
        <v>1.0802878141403198</v>
      </c>
      <c r="L56">
        <v>0</v>
      </c>
      <c r="O56" t="s">
        <v>66</v>
      </c>
      <c r="P56">
        <v>1</v>
      </c>
      <c r="Q56">
        <v>7500000</v>
      </c>
      <c r="R56">
        <v>7500000</v>
      </c>
      <c r="S56">
        <f t="shared" si="8"/>
        <v>0</v>
      </c>
      <c r="T56">
        <f t="shared" si="9"/>
        <v>1</v>
      </c>
      <c r="U56">
        <f t="shared" si="1"/>
        <v>0</v>
      </c>
      <c r="V56">
        <v>0</v>
      </c>
      <c r="W56">
        <f t="shared" si="2"/>
        <v>0</v>
      </c>
      <c r="X56">
        <f t="shared" si="3"/>
        <v>0</v>
      </c>
      <c r="Y56">
        <f t="shared" si="4"/>
        <v>0</v>
      </c>
      <c r="Z56">
        <f t="shared" si="5"/>
        <v>0</v>
      </c>
      <c r="AA56">
        <f t="shared" si="10"/>
        <v>0</v>
      </c>
      <c r="AB56">
        <f t="shared" si="11"/>
        <v>0</v>
      </c>
      <c r="AC56">
        <f t="shared" si="12"/>
        <v>0</v>
      </c>
      <c r="AD56">
        <f t="shared" si="6"/>
        <v>0</v>
      </c>
      <c r="AE56">
        <f t="shared" si="7"/>
        <v>0</v>
      </c>
      <c r="AF56">
        <f t="shared" si="0"/>
        <v>7500000</v>
      </c>
    </row>
    <row r="57" spans="1:32" x14ac:dyDescent="0.35">
      <c r="A57" s="1">
        <v>0</v>
      </c>
      <c r="B57" t="s">
        <v>200</v>
      </c>
      <c r="C57" t="s">
        <v>10</v>
      </c>
      <c r="D57" t="s">
        <v>45</v>
      </c>
      <c r="E57" t="s">
        <v>39</v>
      </c>
      <c r="F57" t="s">
        <v>184</v>
      </c>
      <c r="G57">
        <v>38</v>
      </c>
      <c r="H57" t="s">
        <v>201</v>
      </c>
      <c r="I57">
        <v>1.3104637861251831</v>
      </c>
      <c r="J57">
        <v>1.0387334823608398</v>
      </c>
      <c r="K57">
        <v>1</v>
      </c>
      <c r="L57">
        <v>8000000</v>
      </c>
      <c r="M57">
        <v>8000000</v>
      </c>
      <c r="S57">
        <f t="shared" si="8"/>
        <v>0</v>
      </c>
      <c r="T57">
        <f t="shared" si="9"/>
        <v>1</v>
      </c>
      <c r="U57">
        <f t="shared" si="1"/>
        <v>0</v>
      </c>
      <c r="V57">
        <v>0</v>
      </c>
      <c r="W57">
        <f t="shared" si="2"/>
        <v>0</v>
      </c>
      <c r="X57">
        <f t="shared" si="3"/>
        <v>0</v>
      </c>
      <c r="Y57">
        <f t="shared" si="4"/>
        <v>0</v>
      </c>
      <c r="Z57">
        <f t="shared" si="5"/>
        <v>0</v>
      </c>
      <c r="AA57">
        <f t="shared" si="10"/>
        <v>0</v>
      </c>
      <c r="AB57">
        <f t="shared" si="11"/>
        <v>0</v>
      </c>
      <c r="AC57">
        <f t="shared" si="12"/>
        <v>0</v>
      </c>
      <c r="AD57">
        <f t="shared" si="6"/>
        <v>0</v>
      </c>
      <c r="AE57">
        <f t="shared" si="7"/>
        <v>0</v>
      </c>
      <c r="AF57">
        <f t="shared" si="0"/>
        <v>8000000</v>
      </c>
    </row>
    <row r="58" spans="1:32" x14ac:dyDescent="0.35">
      <c r="A58" s="1">
        <v>0</v>
      </c>
      <c r="B58" t="s">
        <v>428</v>
      </c>
      <c r="C58" t="s">
        <v>10</v>
      </c>
      <c r="D58" t="s">
        <v>39</v>
      </c>
      <c r="E58" t="s">
        <v>39</v>
      </c>
      <c r="F58" t="s">
        <v>151</v>
      </c>
      <c r="G58">
        <v>27</v>
      </c>
      <c r="H58" t="s">
        <v>429</v>
      </c>
      <c r="I58">
        <v>0.36276072263717651</v>
      </c>
      <c r="J58">
        <v>1.0183967351913452</v>
      </c>
      <c r="L58">
        <v>0</v>
      </c>
      <c r="O58" t="s">
        <v>141</v>
      </c>
      <c r="P58">
        <v>1</v>
      </c>
      <c r="Q58">
        <v>9000000</v>
      </c>
      <c r="R58">
        <v>9000000</v>
      </c>
      <c r="S58">
        <f t="shared" si="8"/>
        <v>0</v>
      </c>
      <c r="T58">
        <f t="shared" si="9"/>
        <v>1</v>
      </c>
      <c r="U58">
        <f t="shared" si="1"/>
        <v>0</v>
      </c>
      <c r="V58">
        <v>0</v>
      </c>
      <c r="W58">
        <f t="shared" si="2"/>
        <v>0</v>
      </c>
      <c r="X58">
        <f t="shared" si="3"/>
        <v>0</v>
      </c>
      <c r="Y58">
        <f t="shared" si="4"/>
        <v>0</v>
      </c>
      <c r="Z58">
        <f t="shared" si="5"/>
        <v>0</v>
      </c>
      <c r="AA58">
        <f t="shared" si="10"/>
        <v>0</v>
      </c>
      <c r="AB58">
        <f t="shared" si="11"/>
        <v>0</v>
      </c>
      <c r="AC58">
        <f t="shared" si="12"/>
        <v>0</v>
      </c>
      <c r="AD58">
        <f t="shared" si="6"/>
        <v>0</v>
      </c>
      <c r="AE58">
        <f t="shared" si="7"/>
        <v>0</v>
      </c>
      <c r="AF58">
        <f t="shared" si="0"/>
        <v>9000000</v>
      </c>
    </row>
    <row r="59" spans="1:32" x14ac:dyDescent="0.35">
      <c r="A59" s="1">
        <v>0</v>
      </c>
      <c r="B59" t="s">
        <v>309</v>
      </c>
      <c r="C59" t="s">
        <v>10</v>
      </c>
      <c r="D59" t="s">
        <v>39</v>
      </c>
      <c r="E59" t="s">
        <v>39</v>
      </c>
      <c r="F59" t="s">
        <v>81</v>
      </c>
      <c r="G59">
        <v>33</v>
      </c>
      <c r="H59" t="s">
        <v>310</v>
      </c>
      <c r="I59">
        <v>0.67994749546051025</v>
      </c>
      <c r="J59">
        <v>1.0085035562515259</v>
      </c>
      <c r="K59">
        <v>1</v>
      </c>
      <c r="L59">
        <v>5500000</v>
      </c>
      <c r="M59">
        <v>5500000</v>
      </c>
      <c r="O59" t="s">
        <v>81</v>
      </c>
      <c r="P59">
        <v>1</v>
      </c>
      <c r="Q59">
        <v>7000000</v>
      </c>
      <c r="R59">
        <v>7000000</v>
      </c>
      <c r="S59">
        <f t="shared" si="8"/>
        <v>0</v>
      </c>
      <c r="T59">
        <f t="shared" si="9"/>
        <v>1</v>
      </c>
      <c r="U59">
        <f t="shared" si="1"/>
        <v>0</v>
      </c>
      <c r="V59">
        <v>0</v>
      </c>
      <c r="W59">
        <f t="shared" si="2"/>
        <v>0</v>
      </c>
      <c r="X59">
        <f t="shared" si="3"/>
        <v>0</v>
      </c>
      <c r="Y59">
        <f t="shared" si="4"/>
        <v>0</v>
      </c>
      <c r="Z59">
        <f t="shared" si="5"/>
        <v>0</v>
      </c>
      <c r="AA59">
        <f t="shared" si="10"/>
        <v>0</v>
      </c>
      <c r="AB59">
        <f t="shared" si="11"/>
        <v>0</v>
      </c>
      <c r="AC59">
        <f t="shared" si="12"/>
        <v>0</v>
      </c>
      <c r="AD59">
        <f t="shared" si="6"/>
        <v>0</v>
      </c>
      <c r="AE59">
        <f t="shared" si="7"/>
        <v>0</v>
      </c>
      <c r="AF59">
        <f t="shared" si="0"/>
        <v>5500000</v>
      </c>
    </row>
    <row r="60" spans="1:32" x14ac:dyDescent="0.35">
      <c r="A60" s="1">
        <v>0</v>
      </c>
      <c r="B60" t="s">
        <v>190</v>
      </c>
      <c r="C60" t="s">
        <v>191</v>
      </c>
      <c r="D60" t="s">
        <v>33</v>
      </c>
      <c r="E60" t="s">
        <v>33</v>
      </c>
      <c r="F60" t="s">
        <v>36</v>
      </c>
      <c r="G60">
        <v>31</v>
      </c>
      <c r="H60" t="s">
        <v>192</v>
      </c>
      <c r="I60">
        <v>1.3797411918640137</v>
      </c>
      <c r="J60">
        <v>0.98574739694595337</v>
      </c>
      <c r="K60">
        <v>2</v>
      </c>
      <c r="L60">
        <v>14000000</v>
      </c>
      <c r="M60">
        <v>7000000</v>
      </c>
      <c r="O60" t="s">
        <v>36</v>
      </c>
      <c r="P60">
        <v>1</v>
      </c>
      <c r="Q60">
        <v>7500000</v>
      </c>
      <c r="R60">
        <v>7500000</v>
      </c>
      <c r="S60">
        <f t="shared" si="8"/>
        <v>0</v>
      </c>
      <c r="T60">
        <f t="shared" si="9"/>
        <v>0</v>
      </c>
      <c r="U60">
        <f t="shared" si="1"/>
        <v>0</v>
      </c>
      <c r="V60">
        <v>0</v>
      </c>
      <c r="W60">
        <f t="shared" si="2"/>
        <v>0</v>
      </c>
      <c r="X60">
        <f t="shared" si="3"/>
        <v>0</v>
      </c>
      <c r="Y60">
        <f t="shared" si="4"/>
        <v>0</v>
      </c>
      <c r="Z60">
        <f t="shared" si="5"/>
        <v>0</v>
      </c>
      <c r="AA60">
        <f t="shared" si="10"/>
        <v>1</v>
      </c>
      <c r="AB60">
        <f t="shared" si="11"/>
        <v>0</v>
      </c>
      <c r="AC60">
        <f t="shared" si="12"/>
        <v>1</v>
      </c>
      <c r="AD60">
        <f t="shared" si="6"/>
        <v>0</v>
      </c>
      <c r="AE60">
        <f t="shared" si="7"/>
        <v>1</v>
      </c>
      <c r="AF60">
        <f t="shared" si="0"/>
        <v>7000000</v>
      </c>
    </row>
    <row r="61" spans="1:32" x14ac:dyDescent="0.35">
      <c r="A61" s="1">
        <v>0</v>
      </c>
      <c r="B61" t="s">
        <v>250</v>
      </c>
      <c r="C61" t="s">
        <v>65</v>
      </c>
      <c r="D61" t="s">
        <v>33</v>
      </c>
      <c r="E61" t="s">
        <v>33</v>
      </c>
      <c r="F61" t="s">
        <v>100</v>
      </c>
      <c r="G61">
        <v>32</v>
      </c>
      <c r="H61" t="s">
        <v>251</v>
      </c>
      <c r="I61">
        <v>0.95013284683227539</v>
      </c>
      <c r="J61">
        <v>0.97045028209686279</v>
      </c>
      <c r="K61">
        <v>2</v>
      </c>
      <c r="L61">
        <v>22000000</v>
      </c>
      <c r="M61">
        <v>11000000</v>
      </c>
      <c r="O61" t="s">
        <v>134</v>
      </c>
      <c r="P61">
        <v>1</v>
      </c>
      <c r="Q61">
        <v>10000000</v>
      </c>
      <c r="R61">
        <v>10000000</v>
      </c>
      <c r="S61">
        <f t="shared" si="8"/>
        <v>0</v>
      </c>
      <c r="T61">
        <f t="shared" si="9"/>
        <v>0</v>
      </c>
      <c r="U61">
        <f t="shared" si="1"/>
        <v>0</v>
      </c>
      <c r="V61">
        <v>0</v>
      </c>
      <c r="W61">
        <f t="shared" si="2"/>
        <v>0</v>
      </c>
      <c r="X61">
        <f t="shared" si="3"/>
        <v>0</v>
      </c>
      <c r="Y61">
        <f t="shared" si="4"/>
        <v>0</v>
      </c>
      <c r="Z61">
        <f t="shared" si="5"/>
        <v>0</v>
      </c>
      <c r="AA61">
        <f t="shared" si="10"/>
        <v>1</v>
      </c>
      <c r="AB61">
        <f t="shared" si="11"/>
        <v>0</v>
      </c>
      <c r="AC61">
        <f t="shared" si="12"/>
        <v>1</v>
      </c>
      <c r="AD61">
        <f t="shared" si="6"/>
        <v>0</v>
      </c>
      <c r="AE61">
        <f t="shared" si="7"/>
        <v>0</v>
      </c>
      <c r="AF61">
        <f t="shared" si="0"/>
        <v>11000000</v>
      </c>
    </row>
    <row r="62" spans="1:32" x14ac:dyDescent="0.35">
      <c r="A62" s="1">
        <v>1</v>
      </c>
      <c r="B62" t="s">
        <v>243</v>
      </c>
      <c r="C62" t="s">
        <v>244</v>
      </c>
      <c r="D62" t="s">
        <v>33</v>
      </c>
      <c r="E62" t="s">
        <v>33</v>
      </c>
      <c r="F62" t="s">
        <v>104</v>
      </c>
      <c r="G62">
        <v>34</v>
      </c>
      <c r="H62" t="s">
        <v>245</v>
      </c>
      <c r="I62">
        <v>1.0476001501083374</v>
      </c>
      <c r="J62">
        <v>0.96923506259918213</v>
      </c>
      <c r="L62">
        <v>0</v>
      </c>
      <c r="O62" t="s">
        <v>151</v>
      </c>
      <c r="P62">
        <v>1</v>
      </c>
      <c r="Q62">
        <v>1950000</v>
      </c>
      <c r="R62">
        <v>1950000</v>
      </c>
      <c r="S62">
        <f t="shared" si="8"/>
        <v>0</v>
      </c>
      <c r="T62">
        <f t="shared" si="9"/>
        <v>0</v>
      </c>
      <c r="U62">
        <f t="shared" si="1"/>
        <v>0</v>
      </c>
      <c r="V62">
        <v>0</v>
      </c>
      <c r="W62">
        <f t="shared" si="2"/>
        <v>0</v>
      </c>
      <c r="X62">
        <f t="shared" si="3"/>
        <v>0</v>
      </c>
      <c r="Y62">
        <f t="shared" si="4"/>
        <v>0</v>
      </c>
      <c r="Z62">
        <f t="shared" si="5"/>
        <v>0</v>
      </c>
      <c r="AA62">
        <f t="shared" si="10"/>
        <v>1</v>
      </c>
      <c r="AB62">
        <f t="shared" si="11"/>
        <v>1</v>
      </c>
      <c r="AC62">
        <f t="shared" si="12"/>
        <v>1</v>
      </c>
      <c r="AD62">
        <f t="shared" si="6"/>
        <v>0</v>
      </c>
      <c r="AE62">
        <f t="shared" si="7"/>
        <v>0</v>
      </c>
      <c r="AF62">
        <f t="shared" si="0"/>
        <v>1950000</v>
      </c>
    </row>
    <row r="63" spans="1:32" x14ac:dyDescent="0.35">
      <c r="A63" s="1">
        <v>0</v>
      </c>
      <c r="B63" t="s">
        <v>183</v>
      </c>
      <c r="C63" t="s">
        <v>10</v>
      </c>
      <c r="D63" t="s">
        <v>39</v>
      </c>
      <c r="E63" t="s">
        <v>39</v>
      </c>
      <c r="F63" t="s">
        <v>184</v>
      </c>
      <c r="G63">
        <v>37</v>
      </c>
      <c r="H63" t="s">
        <v>185</v>
      </c>
      <c r="I63">
        <v>1.428179144859314</v>
      </c>
      <c r="J63">
        <v>0.96512174606323242</v>
      </c>
      <c r="K63">
        <v>1</v>
      </c>
      <c r="L63">
        <v>10000000</v>
      </c>
      <c r="M63">
        <v>10000000</v>
      </c>
      <c r="O63" t="s">
        <v>56</v>
      </c>
      <c r="P63">
        <v>1</v>
      </c>
      <c r="Q63">
        <v>5250000</v>
      </c>
      <c r="R63">
        <v>5250000</v>
      </c>
      <c r="S63">
        <f t="shared" si="8"/>
        <v>0</v>
      </c>
      <c r="T63">
        <f t="shared" si="9"/>
        <v>1</v>
      </c>
      <c r="U63">
        <f t="shared" si="1"/>
        <v>0</v>
      </c>
      <c r="V63">
        <v>0</v>
      </c>
      <c r="W63">
        <f t="shared" si="2"/>
        <v>0</v>
      </c>
      <c r="X63">
        <f t="shared" si="3"/>
        <v>0</v>
      </c>
      <c r="Y63">
        <f t="shared" si="4"/>
        <v>0</v>
      </c>
      <c r="Z63">
        <f t="shared" si="5"/>
        <v>0</v>
      </c>
      <c r="AA63">
        <f t="shared" si="10"/>
        <v>0</v>
      </c>
      <c r="AB63">
        <f t="shared" si="11"/>
        <v>0</v>
      </c>
      <c r="AC63">
        <f t="shared" si="12"/>
        <v>0</v>
      </c>
      <c r="AD63">
        <f t="shared" si="6"/>
        <v>0</v>
      </c>
      <c r="AE63">
        <f t="shared" si="7"/>
        <v>0</v>
      </c>
      <c r="AF63">
        <f t="shared" si="0"/>
        <v>10000000</v>
      </c>
    </row>
    <row r="64" spans="1:32" x14ac:dyDescent="0.35">
      <c r="A64" s="1">
        <v>0</v>
      </c>
      <c r="B64" t="s">
        <v>374</v>
      </c>
      <c r="C64" t="s">
        <v>10</v>
      </c>
      <c r="D64" t="s">
        <v>33</v>
      </c>
      <c r="E64" t="s">
        <v>33</v>
      </c>
      <c r="F64" t="s">
        <v>46</v>
      </c>
      <c r="G64">
        <v>34</v>
      </c>
      <c r="H64" t="s">
        <v>375</v>
      </c>
      <c r="I64">
        <v>0.49794203042984009</v>
      </c>
      <c r="J64">
        <v>0.91062599420547485</v>
      </c>
      <c r="K64">
        <v>1</v>
      </c>
      <c r="L64">
        <v>7000000</v>
      </c>
      <c r="M64">
        <v>7000000</v>
      </c>
      <c r="O64" t="s">
        <v>151</v>
      </c>
      <c r="P64">
        <v>1</v>
      </c>
      <c r="Q64">
        <v>5000000</v>
      </c>
      <c r="R64">
        <v>5000000</v>
      </c>
      <c r="S64">
        <f t="shared" si="8"/>
        <v>0</v>
      </c>
      <c r="T64">
        <f t="shared" si="9"/>
        <v>1</v>
      </c>
      <c r="U64">
        <f t="shared" si="1"/>
        <v>0</v>
      </c>
      <c r="V64">
        <v>0</v>
      </c>
      <c r="W64">
        <f t="shared" si="2"/>
        <v>0</v>
      </c>
      <c r="X64">
        <f t="shared" si="3"/>
        <v>0</v>
      </c>
      <c r="Y64">
        <f t="shared" si="4"/>
        <v>0</v>
      </c>
      <c r="Z64">
        <f t="shared" si="5"/>
        <v>0</v>
      </c>
      <c r="AA64">
        <f t="shared" si="10"/>
        <v>0</v>
      </c>
      <c r="AB64">
        <f t="shared" si="11"/>
        <v>0</v>
      </c>
      <c r="AC64">
        <f t="shared" si="12"/>
        <v>0</v>
      </c>
      <c r="AD64">
        <f t="shared" si="6"/>
        <v>0</v>
      </c>
      <c r="AE64">
        <f t="shared" si="7"/>
        <v>0</v>
      </c>
      <c r="AF64">
        <f t="shared" si="0"/>
        <v>7000000</v>
      </c>
    </row>
    <row r="65" spans="1:32" x14ac:dyDescent="0.35">
      <c r="A65" s="1">
        <v>0</v>
      </c>
      <c r="B65" t="s">
        <v>409</v>
      </c>
      <c r="C65" t="s">
        <v>10</v>
      </c>
      <c r="D65" t="s">
        <v>39</v>
      </c>
      <c r="E65" t="s">
        <v>39</v>
      </c>
      <c r="F65" t="s">
        <v>104</v>
      </c>
      <c r="G65">
        <v>35</v>
      </c>
      <c r="H65" t="s">
        <v>410</v>
      </c>
      <c r="I65">
        <v>0.41013327240943909</v>
      </c>
      <c r="J65">
        <v>0.85594969987869263</v>
      </c>
      <c r="L65">
        <v>0</v>
      </c>
      <c r="O65" t="s">
        <v>62</v>
      </c>
      <c r="P65">
        <v>1</v>
      </c>
      <c r="Q65">
        <v>2500000</v>
      </c>
      <c r="R65">
        <v>2500000</v>
      </c>
      <c r="S65">
        <f t="shared" si="8"/>
        <v>0</v>
      </c>
      <c r="T65">
        <f t="shared" si="9"/>
        <v>1</v>
      </c>
      <c r="U65">
        <f t="shared" si="1"/>
        <v>0</v>
      </c>
      <c r="V65">
        <v>0</v>
      </c>
      <c r="W65">
        <f t="shared" si="2"/>
        <v>0</v>
      </c>
      <c r="X65">
        <f t="shared" si="3"/>
        <v>0</v>
      </c>
      <c r="Y65">
        <f t="shared" si="4"/>
        <v>0</v>
      </c>
      <c r="Z65">
        <f t="shared" si="5"/>
        <v>0</v>
      </c>
      <c r="AA65">
        <f t="shared" si="10"/>
        <v>0</v>
      </c>
      <c r="AB65">
        <f t="shared" si="11"/>
        <v>0</v>
      </c>
      <c r="AC65">
        <f t="shared" si="12"/>
        <v>0</v>
      </c>
      <c r="AD65">
        <f t="shared" si="6"/>
        <v>0</v>
      </c>
      <c r="AE65">
        <f t="shared" si="7"/>
        <v>0</v>
      </c>
      <c r="AF65">
        <f t="shared" si="0"/>
        <v>2500000</v>
      </c>
    </row>
    <row r="66" spans="1:32" x14ac:dyDescent="0.35">
      <c r="A66" s="1">
        <v>0</v>
      </c>
      <c r="B66" t="s">
        <v>133</v>
      </c>
      <c r="C66" t="s">
        <v>9</v>
      </c>
      <c r="D66" t="s">
        <v>39</v>
      </c>
      <c r="E66" t="s">
        <v>39</v>
      </c>
      <c r="F66" t="s">
        <v>134</v>
      </c>
      <c r="G66">
        <v>32</v>
      </c>
      <c r="H66" t="s">
        <v>135</v>
      </c>
      <c r="I66">
        <v>2.0313034057617188</v>
      </c>
      <c r="J66">
        <v>0.82233375310897827</v>
      </c>
      <c r="K66">
        <v>3</v>
      </c>
      <c r="L66">
        <v>30000000</v>
      </c>
      <c r="M66">
        <v>10000000</v>
      </c>
      <c r="O66" t="s">
        <v>86</v>
      </c>
      <c r="P66">
        <v>3</v>
      </c>
      <c r="Q66">
        <v>33000000</v>
      </c>
      <c r="R66">
        <v>11000000</v>
      </c>
      <c r="S66">
        <f t="shared" si="8"/>
        <v>0</v>
      </c>
      <c r="T66">
        <f t="shared" si="9"/>
        <v>0</v>
      </c>
      <c r="U66">
        <f t="shared" si="1"/>
        <v>1</v>
      </c>
      <c r="V66">
        <v>0</v>
      </c>
      <c r="W66">
        <f t="shared" si="2"/>
        <v>0</v>
      </c>
      <c r="X66">
        <f t="shared" si="3"/>
        <v>0</v>
      </c>
      <c r="Y66">
        <f t="shared" si="4"/>
        <v>0</v>
      </c>
      <c r="Z66">
        <f t="shared" si="5"/>
        <v>0</v>
      </c>
      <c r="AA66">
        <f t="shared" si="10"/>
        <v>0</v>
      </c>
      <c r="AB66">
        <f t="shared" si="11"/>
        <v>0</v>
      </c>
      <c r="AC66">
        <f t="shared" si="12"/>
        <v>0</v>
      </c>
      <c r="AD66">
        <f t="shared" si="6"/>
        <v>0</v>
      </c>
      <c r="AE66">
        <f t="shared" si="7"/>
        <v>0</v>
      </c>
      <c r="AF66">
        <f t="shared" si="0"/>
        <v>10000000</v>
      </c>
    </row>
    <row r="67" spans="1:32" x14ac:dyDescent="0.35">
      <c r="A67" s="1">
        <v>0</v>
      </c>
      <c r="B67" t="s">
        <v>171</v>
      </c>
      <c r="C67" t="s">
        <v>9</v>
      </c>
      <c r="D67" t="s">
        <v>39</v>
      </c>
      <c r="E67" t="s">
        <v>33</v>
      </c>
      <c r="F67" t="s">
        <v>46</v>
      </c>
      <c r="G67">
        <v>30</v>
      </c>
      <c r="H67" t="s">
        <v>117</v>
      </c>
      <c r="I67">
        <v>1.6380876302719116</v>
      </c>
      <c r="J67">
        <v>0.79611372947692871</v>
      </c>
      <c r="K67">
        <v>3</v>
      </c>
      <c r="L67">
        <v>36000000</v>
      </c>
      <c r="M67">
        <v>12000000</v>
      </c>
      <c r="O67" t="s">
        <v>66</v>
      </c>
      <c r="P67">
        <v>4</v>
      </c>
      <c r="Q67">
        <v>72000000</v>
      </c>
      <c r="R67">
        <v>15841901</v>
      </c>
      <c r="S67">
        <f t="shared" si="8"/>
        <v>0</v>
      </c>
      <c r="T67">
        <f t="shared" si="9"/>
        <v>0</v>
      </c>
      <c r="U67">
        <f t="shared" si="1"/>
        <v>1</v>
      </c>
      <c r="V67">
        <v>0</v>
      </c>
      <c r="W67">
        <f t="shared" si="2"/>
        <v>0</v>
      </c>
      <c r="X67">
        <f t="shared" si="3"/>
        <v>0</v>
      </c>
      <c r="Y67">
        <f t="shared" si="4"/>
        <v>0</v>
      </c>
      <c r="Z67">
        <f t="shared" si="5"/>
        <v>0</v>
      </c>
      <c r="AA67">
        <f t="shared" si="10"/>
        <v>0</v>
      </c>
      <c r="AB67">
        <f t="shared" si="11"/>
        <v>0</v>
      </c>
      <c r="AC67">
        <f t="shared" si="12"/>
        <v>0</v>
      </c>
      <c r="AD67">
        <f t="shared" si="6"/>
        <v>0</v>
      </c>
      <c r="AE67">
        <f t="shared" si="7"/>
        <v>0</v>
      </c>
      <c r="AF67">
        <f t="shared" si="0"/>
        <v>12000000</v>
      </c>
    </row>
    <row r="68" spans="1:32" x14ac:dyDescent="0.35">
      <c r="A68" s="1">
        <v>0</v>
      </c>
      <c r="B68" t="s">
        <v>140</v>
      </c>
      <c r="C68" t="s">
        <v>10</v>
      </c>
      <c r="D68" t="s">
        <v>39</v>
      </c>
      <c r="E68" t="s">
        <v>39</v>
      </c>
      <c r="F68" t="s">
        <v>141</v>
      </c>
      <c r="G68">
        <v>33</v>
      </c>
      <c r="H68" t="s">
        <v>142</v>
      </c>
      <c r="I68">
        <v>1.9769130945205688</v>
      </c>
      <c r="J68">
        <v>0.77775895595550537</v>
      </c>
      <c r="K68">
        <v>2</v>
      </c>
      <c r="L68">
        <v>18000000</v>
      </c>
      <c r="M68">
        <v>9000000</v>
      </c>
      <c r="O68" t="s">
        <v>141</v>
      </c>
      <c r="P68">
        <v>2</v>
      </c>
      <c r="Q68">
        <v>14000000</v>
      </c>
      <c r="R68">
        <v>7000000</v>
      </c>
      <c r="S68">
        <f t="shared" si="8"/>
        <v>0</v>
      </c>
      <c r="T68">
        <f t="shared" si="9"/>
        <v>1</v>
      </c>
      <c r="U68">
        <f t="shared" si="1"/>
        <v>0</v>
      </c>
      <c r="V68">
        <v>0</v>
      </c>
      <c r="W68">
        <f t="shared" si="2"/>
        <v>0</v>
      </c>
      <c r="X68">
        <f t="shared" si="3"/>
        <v>0</v>
      </c>
      <c r="Y68">
        <f t="shared" si="4"/>
        <v>0</v>
      </c>
      <c r="Z68">
        <f t="shared" si="5"/>
        <v>0</v>
      </c>
      <c r="AA68">
        <f t="shared" si="10"/>
        <v>0</v>
      </c>
      <c r="AB68">
        <f t="shared" si="11"/>
        <v>0</v>
      </c>
      <c r="AC68">
        <f t="shared" si="12"/>
        <v>0</v>
      </c>
      <c r="AD68">
        <f t="shared" si="6"/>
        <v>0</v>
      </c>
      <c r="AE68">
        <f t="shared" si="7"/>
        <v>0</v>
      </c>
      <c r="AF68">
        <f t="shared" si="0"/>
        <v>9000000</v>
      </c>
    </row>
    <row r="69" spans="1:32" x14ac:dyDescent="0.35">
      <c r="A69" s="1">
        <v>0</v>
      </c>
      <c r="B69" t="s">
        <v>356</v>
      </c>
      <c r="C69" t="s">
        <v>10</v>
      </c>
      <c r="D69" t="s">
        <v>33</v>
      </c>
      <c r="E69" t="s">
        <v>39</v>
      </c>
      <c r="F69" t="s">
        <v>254</v>
      </c>
      <c r="G69">
        <v>30</v>
      </c>
      <c r="H69" t="s">
        <v>357</v>
      </c>
      <c r="I69">
        <v>0.53538531064987183</v>
      </c>
      <c r="J69">
        <v>0.7732168436050415</v>
      </c>
      <c r="L69">
        <v>0</v>
      </c>
      <c r="O69" t="s">
        <v>358</v>
      </c>
      <c r="P69">
        <v>1</v>
      </c>
      <c r="Q69">
        <v>3500000</v>
      </c>
      <c r="R69">
        <v>3500000</v>
      </c>
      <c r="S69">
        <f t="shared" si="8"/>
        <v>0</v>
      </c>
      <c r="T69">
        <f t="shared" si="9"/>
        <v>1</v>
      </c>
      <c r="U69">
        <f t="shared" si="1"/>
        <v>0</v>
      </c>
      <c r="V69">
        <v>0</v>
      </c>
      <c r="W69">
        <f t="shared" si="2"/>
        <v>0</v>
      </c>
      <c r="X69">
        <f t="shared" si="3"/>
        <v>0</v>
      </c>
      <c r="Y69">
        <f t="shared" si="4"/>
        <v>0</v>
      </c>
      <c r="Z69">
        <f t="shared" si="5"/>
        <v>0</v>
      </c>
      <c r="AA69">
        <f t="shared" si="10"/>
        <v>0</v>
      </c>
      <c r="AB69">
        <f t="shared" si="11"/>
        <v>0</v>
      </c>
      <c r="AC69">
        <f t="shared" si="12"/>
        <v>0</v>
      </c>
      <c r="AD69">
        <f t="shared" si="6"/>
        <v>0</v>
      </c>
      <c r="AE69">
        <f t="shared" si="7"/>
        <v>0</v>
      </c>
      <c r="AF69">
        <f t="shared" si="0"/>
        <v>3500000</v>
      </c>
    </row>
    <row r="70" spans="1:32" x14ac:dyDescent="0.35">
      <c r="A70" s="1">
        <v>0</v>
      </c>
      <c r="B70" t="s">
        <v>237</v>
      </c>
      <c r="C70" t="s">
        <v>9</v>
      </c>
      <c r="D70" t="s">
        <v>33</v>
      </c>
      <c r="E70" t="s">
        <v>33</v>
      </c>
      <c r="F70" t="s">
        <v>125</v>
      </c>
      <c r="G70">
        <v>37</v>
      </c>
      <c r="H70" t="s">
        <v>238</v>
      </c>
      <c r="I70">
        <v>1.0912429094314575</v>
      </c>
      <c r="J70">
        <v>0.76992553472518921</v>
      </c>
      <c r="K70">
        <v>1</v>
      </c>
      <c r="L70">
        <v>10000000</v>
      </c>
      <c r="M70">
        <v>10000000</v>
      </c>
      <c r="O70" t="s">
        <v>53</v>
      </c>
      <c r="P70">
        <v>1</v>
      </c>
      <c r="Q70">
        <v>10750000</v>
      </c>
      <c r="R70">
        <v>10750000</v>
      </c>
      <c r="S70">
        <f t="shared" si="8"/>
        <v>0</v>
      </c>
      <c r="T70">
        <f t="shared" si="9"/>
        <v>0</v>
      </c>
      <c r="U70">
        <f t="shared" si="1"/>
        <v>1</v>
      </c>
      <c r="V70">
        <v>0</v>
      </c>
      <c r="W70">
        <f t="shared" si="2"/>
        <v>0</v>
      </c>
      <c r="X70">
        <f t="shared" si="3"/>
        <v>0</v>
      </c>
      <c r="Y70">
        <f t="shared" si="4"/>
        <v>0</v>
      </c>
      <c r="Z70">
        <f t="shared" si="5"/>
        <v>0</v>
      </c>
      <c r="AA70">
        <f t="shared" si="10"/>
        <v>0</v>
      </c>
      <c r="AB70">
        <f t="shared" si="11"/>
        <v>0</v>
      </c>
      <c r="AC70">
        <f t="shared" si="12"/>
        <v>0</v>
      </c>
      <c r="AD70">
        <f t="shared" si="6"/>
        <v>0</v>
      </c>
      <c r="AE70">
        <f t="shared" si="7"/>
        <v>0</v>
      </c>
      <c r="AF70">
        <f t="shared" si="0"/>
        <v>10000000</v>
      </c>
    </row>
    <row r="71" spans="1:32" x14ac:dyDescent="0.35">
      <c r="A71" s="1">
        <v>0</v>
      </c>
      <c r="B71" t="s">
        <v>421</v>
      </c>
      <c r="C71" t="s">
        <v>422</v>
      </c>
      <c r="D71" t="s">
        <v>39</v>
      </c>
      <c r="E71" t="s">
        <v>39</v>
      </c>
      <c r="F71" t="s">
        <v>40</v>
      </c>
      <c r="G71">
        <v>32</v>
      </c>
      <c r="H71" t="s">
        <v>423</v>
      </c>
      <c r="I71">
        <v>0.37407970428466797</v>
      </c>
      <c r="J71">
        <v>0.70520538091659546</v>
      </c>
      <c r="L71">
        <v>0</v>
      </c>
      <c r="O71" t="s">
        <v>56</v>
      </c>
      <c r="P71">
        <v>1</v>
      </c>
      <c r="Q71">
        <v>8500000</v>
      </c>
      <c r="R71">
        <v>8500000</v>
      </c>
      <c r="S71">
        <f t="shared" si="8"/>
        <v>0</v>
      </c>
      <c r="T71">
        <f t="shared" si="9"/>
        <v>0</v>
      </c>
      <c r="U71">
        <f t="shared" si="1"/>
        <v>0</v>
      </c>
      <c r="V71">
        <v>1</v>
      </c>
      <c r="W71">
        <f t="shared" si="2"/>
        <v>0</v>
      </c>
      <c r="X71">
        <f t="shared" si="3"/>
        <v>0</v>
      </c>
      <c r="Y71">
        <f t="shared" si="4"/>
        <v>0</v>
      </c>
      <c r="Z71">
        <f t="shared" si="5"/>
        <v>0</v>
      </c>
      <c r="AA71">
        <f t="shared" si="10"/>
        <v>0</v>
      </c>
      <c r="AB71">
        <f t="shared" si="11"/>
        <v>0</v>
      </c>
      <c r="AC71">
        <f t="shared" si="12"/>
        <v>0</v>
      </c>
      <c r="AD71">
        <f t="shared" si="6"/>
        <v>0</v>
      </c>
      <c r="AE71">
        <f t="shared" si="7"/>
        <v>1</v>
      </c>
      <c r="AF71">
        <f t="shared" si="0"/>
        <v>8500000</v>
      </c>
    </row>
    <row r="72" spans="1:32" x14ac:dyDescent="0.35">
      <c r="A72" s="1">
        <v>0</v>
      </c>
      <c r="B72" t="s">
        <v>477</v>
      </c>
      <c r="C72" t="s">
        <v>478</v>
      </c>
      <c r="D72" t="s">
        <v>39</v>
      </c>
      <c r="E72" t="s">
        <v>39</v>
      </c>
      <c r="F72" t="s">
        <v>70</v>
      </c>
      <c r="G72">
        <v>29</v>
      </c>
      <c r="H72" t="s">
        <v>479</v>
      </c>
      <c r="I72">
        <v>0.21797968447208405</v>
      </c>
      <c r="J72">
        <v>0.69562423229217529</v>
      </c>
      <c r="L72">
        <v>0</v>
      </c>
      <c r="O72" t="s">
        <v>141</v>
      </c>
      <c r="P72">
        <v>1</v>
      </c>
      <c r="Q72">
        <v>2000000</v>
      </c>
      <c r="R72">
        <v>2000000</v>
      </c>
      <c r="S72">
        <f t="shared" si="8"/>
        <v>0</v>
      </c>
      <c r="T72">
        <f t="shared" si="9"/>
        <v>0</v>
      </c>
      <c r="U72">
        <f t="shared" si="1"/>
        <v>0</v>
      </c>
      <c r="V72">
        <v>0</v>
      </c>
      <c r="W72">
        <f t="shared" si="2"/>
        <v>0</v>
      </c>
      <c r="X72">
        <f t="shared" si="3"/>
        <v>1</v>
      </c>
      <c r="Y72">
        <f t="shared" si="4"/>
        <v>1</v>
      </c>
      <c r="Z72">
        <f t="shared" si="5"/>
        <v>1</v>
      </c>
      <c r="AA72">
        <f t="shared" si="10"/>
        <v>0</v>
      </c>
      <c r="AB72">
        <f t="shared" si="11"/>
        <v>0</v>
      </c>
      <c r="AC72">
        <f t="shared" si="12"/>
        <v>1</v>
      </c>
      <c r="AD72">
        <f t="shared" si="6"/>
        <v>0</v>
      </c>
      <c r="AE72">
        <f t="shared" si="7"/>
        <v>0</v>
      </c>
      <c r="AF72">
        <f t="shared" si="0"/>
        <v>2000000</v>
      </c>
    </row>
    <row r="73" spans="1:32" x14ac:dyDescent="0.35">
      <c r="A73" s="1">
        <v>1</v>
      </c>
      <c r="B73" t="s">
        <v>234</v>
      </c>
      <c r="C73" t="s">
        <v>9</v>
      </c>
      <c r="D73" t="s">
        <v>33</v>
      </c>
      <c r="E73" t="s">
        <v>33</v>
      </c>
      <c r="F73" t="s">
        <v>48</v>
      </c>
      <c r="G73">
        <v>31</v>
      </c>
      <c r="H73" t="s">
        <v>235</v>
      </c>
      <c r="I73">
        <v>1.0976227521896362</v>
      </c>
      <c r="J73">
        <v>0.68837302923202515</v>
      </c>
      <c r="L73">
        <v>0</v>
      </c>
      <c r="O73" t="s">
        <v>48</v>
      </c>
      <c r="P73">
        <v>2</v>
      </c>
      <c r="Q73">
        <v>13000000</v>
      </c>
      <c r="R73">
        <v>6500000</v>
      </c>
      <c r="S73">
        <f t="shared" si="8"/>
        <v>0</v>
      </c>
      <c r="T73">
        <f t="shared" si="9"/>
        <v>0</v>
      </c>
      <c r="U73">
        <f t="shared" si="1"/>
        <v>1</v>
      </c>
      <c r="V73">
        <v>0</v>
      </c>
      <c r="W73">
        <f t="shared" si="2"/>
        <v>0</v>
      </c>
      <c r="X73">
        <f t="shared" si="3"/>
        <v>0</v>
      </c>
      <c r="Y73">
        <f t="shared" si="4"/>
        <v>0</v>
      </c>
      <c r="Z73">
        <f t="shared" si="5"/>
        <v>0</v>
      </c>
      <c r="AA73">
        <f t="shared" si="10"/>
        <v>0</v>
      </c>
      <c r="AB73">
        <f t="shared" si="11"/>
        <v>0</v>
      </c>
      <c r="AC73">
        <f t="shared" si="12"/>
        <v>0</v>
      </c>
      <c r="AD73">
        <f t="shared" si="6"/>
        <v>0</v>
      </c>
      <c r="AE73">
        <f t="shared" si="7"/>
        <v>0</v>
      </c>
      <c r="AF73">
        <f t="shared" si="0"/>
        <v>6500000</v>
      </c>
    </row>
    <row r="74" spans="1:32" x14ac:dyDescent="0.35">
      <c r="A74" s="1">
        <v>0</v>
      </c>
      <c r="B74" t="s">
        <v>260</v>
      </c>
      <c r="C74" t="s">
        <v>9</v>
      </c>
      <c r="D74" t="s">
        <v>39</v>
      </c>
      <c r="E74" t="s">
        <v>39</v>
      </c>
      <c r="F74" t="s">
        <v>53</v>
      </c>
      <c r="G74">
        <v>39</v>
      </c>
      <c r="H74" t="s">
        <v>261</v>
      </c>
      <c r="I74">
        <v>0.89683073759078979</v>
      </c>
      <c r="J74">
        <v>0.6744195818901062</v>
      </c>
      <c r="K74">
        <v>1</v>
      </c>
      <c r="L74">
        <v>7000000</v>
      </c>
      <c r="M74">
        <v>7000000</v>
      </c>
      <c r="O74" t="s">
        <v>97</v>
      </c>
      <c r="P74">
        <v>1</v>
      </c>
      <c r="Q74">
        <v>5500000</v>
      </c>
      <c r="R74">
        <v>5500000</v>
      </c>
      <c r="S74">
        <f t="shared" si="8"/>
        <v>0</v>
      </c>
      <c r="T74">
        <f t="shared" si="9"/>
        <v>0</v>
      </c>
      <c r="U74">
        <f t="shared" si="1"/>
        <v>1</v>
      </c>
      <c r="V74">
        <v>0</v>
      </c>
      <c r="W74">
        <f t="shared" si="2"/>
        <v>0</v>
      </c>
      <c r="X74">
        <f t="shared" si="3"/>
        <v>0</v>
      </c>
      <c r="Y74">
        <f t="shared" si="4"/>
        <v>0</v>
      </c>
      <c r="Z74">
        <f t="shared" si="5"/>
        <v>0</v>
      </c>
      <c r="AA74">
        <f t="shared" si="10"/>
        <v>0</v>
      </c>
      <c r="AB74">
        <f t="shared" si="11"/>
        <v>0</v>
      </c>
      <c r="AC74">
        <f t="shared" si="12"/>
        <v>0</v>
      </c>
      <c r="AD74">
        <f t="shared" si="6"/>
        <v>0</v>
      </c>
      <c r="AE74">
        <f t="shared" si="7"/>
        <v>0</v>
      </c>
      <c r="AF74">
        <f t="shared" si="0"/>
        <v>7000000</v>
      </c>
    </row>
    <row r="75" spans="1:32" x14ac:dyDescent="0.35">
      <c r="A75" s="1">
        <v>0</v>
      </c>
      <c r="B75" t="s">
        <v>168</v>
      </c>
      <c r="C75" t="s">
        <v>10</v>
      </c>
      <c r="D75" t="s">
        <v>33</v>
      </c>
      <c r="E75" t="s">
        <v>33</v>
      </c>
      <c r="F75" t="s">
        <v>141</v>
      </c>
      <c r="G75">
        <v>35</v>
      </c>
      <c r="H75" t="s">
        <v>169</v>
      </c>
      <c r="I75">
        <v>1.7376071214675903</v>
      </c>
      <c r="J75">
        <v>0.66931021213531494</v>
      </c>
      <c r="L75">
        <v>0</v>
      </c>
      <c r="O75" t="s">
        <v>97</v>
      </c>
      <c r="P75">
        <v>1</v>
      </c>
      <c r="Q75">
        <v>1100000</v>
      </c>
      <c r="R75">
        <v>1100000</v>
      </c>
      <c r="S75">
        <f t="shared" si="8"/>
        <v>0</v>
      </c>
      <c r="T75">
        <f t="shared" si="9"/>
        <v>1</v>
      </c>
      <c r="U75">
        <f t="shared" si="1"/>
        <v>0</v>
      </c>
      <c r="V75">
        <v>0</v>
      </c>
      <c r="W75">
        <f t="shared" si="2"/>
        <v>0</v>
      </c>
      <c r="X75">
        <f t="shared" si="3"/>
        <v>0</v>
      </c>
      <c r="Y75">
        <f t="shared" si="4"/>
        <v>0</v>
      </c>
      <c r="Z75">
        <f t="shared" si="5"/>
        <v>0</v>
      </c>
      <c r="AA75">
        <f t="shared" si="10"/>
        <v>0</v>
      </c>
      <c r="AB75">
        <f t="shared" si="11"/>
        <v>0</v>
      </c>
      <c r="AC75">
        <f t="shared" si="12"/>
        <v>0</v>
      </c>
      <c r="AD75">
        <f t="shared" si="6"/>
        <v>0</v>
      </c>
      <c r="AE75">
        <f t="shared" si="7"/>
        <v>0</v>
      </c>
      <c r="AF75">
        <f t="shared" si="0"/>
        <v>1100000</v>
      </c>
    </row>
    <row r="76" spans="1:32" x14ac:dyDescent="0.35">
      <c r="A76" s="1">
        <v>0</v>
      </c>
      <c r="B76" t="s">
        <v>545</v>
      </c>
      <c r="C76" t="s">
        <v>10</v>
      </c>
      <c r="D76" t="s">
        <v>39</v>
      </c>
      <c r="E76" t="s">
        <v>39</v>
      </c>
      <c r="F76" t="s">
        <v>62</v>
      </c>
      <c r="G76">
        <v>29</v>
      </c>
      <c r="H76" t="s">
        <v>300</v>
      </c>
      <c r="I76">
        <v>9.968288242816925E-2</v>
      </c>
      <c r="J76">
        <v>0.66780132055282593</v>
      </c>
      <c r="L76">
        <v>0</v>
      </c>
      <c r="O76" t="s">
        <v>36</v>
      </c>
      <c r="P76">
        <v>1</v>
      </c>
      <c r="Q76">
        <v>4250000</v>
      </c>
      <c r="R76">
        <v>4250000</v>
      </c>
      <c r="S76">
        <f t="shared" si="8"/>
        <v>0</v>
      </c>
      <c r="T76">
        <f t="shared" si="9"/>
        <v>1</v>
      </c>
      <c r="U76">
        <f t="shared" si="1"/>
        <v>0</v>
      </c>
      <c r="V76">
        <v>0</v>
      </c>
      <c r="W76">
        <f t="shared" si="2"/>
        <v>0</v>
      </c>
      <c r="X76">
        <f t="shared" si="3"/>
        <v>0</v>
      </c>
      <c r="Y76">
        <f t="shared" si="4"/>
        <v>0</v>
      </c>
      <c r="Z76">
        <f t="shared" si="5"/>
        <v>0</v>
      </c>
      <c r="AA76">
        <f t="shared" si="10"/>
        <v>0</v>
      </c>
      <c r="AB76">
        <f t="shared" si="11"/>
        <v>0</v>
      </c>
      <c r="AC76">
        <f t="shared" si="12"/>
        <v>0</v>
      </c>
      <c r="AD76">
        <f t="shared" si="6"/>
        <v>0</v>
      </c>
      <c r="AE76">
        <f t="shared" si="7"/>
        <v>0</v>
      </c>
      <c r="AF76">
        <f t="shared" si="0"/>
        <v>4250000</v>
      </c>
    </row>
    <row r="77" spans="1:32" x14ac:dyDescent="0.35">
      <c r="A77" s="1">
        <v>0</v>
      </c>
      <c r="B77" t="s">
        <v>247</v>
      </c>
      <c r="C77" t="s">
        <v>9</v>
      </c>
      <c r="D77" t="s">
        <v>39</v>
      </c>
      <c r="E77" t="s">
        <v>39</v>
      </c>
      <c r="F77" t="s">
        <v>66</v>
      </c>
      <c r="G77">
        <v>37</v>
      </c>
      <c r="H77" t="s">
        <v>248</v>
      </c>
      <c r="I77">
        <v>1.0153526067733765</v>
      </c>
      <c r="J77">
        <v>0.61965197324752808</v>
      </c>
      <c r="K77">
        <v>1</v>
      </c>
      <c r="L77">
        <v>8000000</v>
      </c>
      <c r="M77">
        <v>8000000</v>
      </c>
      <c r="O77" t="s">
        <v>66</v>
      </c>
      <c r="P77">
        <v>2</v>
      </c>
      <c r="Q77">
        <v>22000000</v>
      </c>
      <c r="R77">
        <v>11000000</v>
      </c>
      <c r="S77">
        <f t="shared" si="8"/>
        <v>0</v>
      </c>
      <c r="T77">
        <f t="shared" si="9"/>
        <v>0</v>
      </c>
      <c r="U77">
        <f t="shared" si="1"/>
        <v>1</v>
      </c>
      <c r="V77">
        <v>0</v>
      </c>
      <c r="W77">
        <f t="shared" si="2"/>
        <v>0</v>
      </c>
      <c r="X77">
        <f t="shared" si="3"/>
        <v>0</v>
      </c>
      <c r="Y77">
        <f t="shared" si="4"/>
        <v>0</v>
      </c>
      <c r="Z77">
        <f t="shared" si="5"/>
        <v>0</v>
      </c>
      <c r="AA77">
        <f t="shared" si="10"/>
        <v>0</v>
      </c>
      <c r="AB77">
        <f t="shared" si="11"/>
        <v>0</v>
      </c>
      <c r="AC77">
        <f t="shared" si="12"/>
        <v>0</v>
      </c>
      <c r="AD77">
        <f t="shared" si="6"/>
        <v>0</v>
      </c>
      <c r="AE77">
        <f t="shared" si="7"/>
        <v>0</v>
      </c>
      <c r="AF77">
        <f t="shared" si="0"/>
        <v>8000000</v>
      </c>
    </row>
    <row r="78" spans="1:32" x14ac:dyDescent="0.35">
      <c r="A78" s="1">
        <v>1</v>
      </c>
      <c r="B78" t="s">
        <v>415</v>
      </c>
      <c r="C78" t="s">
        <v>9</v>
      </c>
      <c r="D78" t="s">
        <v>39</v>
      </c>
      <c r="E78" t="s">
        <v>39</v>
      </c>
      <c r="F78" t="s">
        <v>149</v>
      </c>
      <c r="G78">
        <v>34</v>
      </c>
      <c r="H78" t="s">
        <v>416</v>
      </c>
      <c r="I78">
        <v>0.40387779474258423</v>
      </c>
      <c r="J78">
        <v>0.58305740356445313</v>
      </c>
      <c r="K78">
        <v>1</v>
      </c>
      <c r="L78">
        <v>5000000</v>
      </c>
      <c r="M78">
        <v>5000000</v>
      </c>
      <c r="O78" t="s">
        <v>86</v>
      </c>
      <c r="P78">
        <v>2</v>
      </c>
      <c r="Q78">
        <v>15000000</v>
      </c>
      <c r="R78">
        <v>7500000</v>
      </c>
      <c r="S78">
        <f t="shared" si="8"/>
        <v>0</v>
      </c>
      <c r="T78">
        <f t="shared" si="9"/>
        <v>0</v>
      </c>
      <c r="U78">
        <f t="shared" si="1"/>
        <v>1</v>
      </c>
      <c r="V78">
        <v>0</v>
      </c>
      <c r="W78">
        <f t="shared" si="2"/>
        <v>0</v>
      </c>
      <c r="X78">
        <f t="shared" si="3"/>
        <v>0</v>
      </c>
      <c r="Y78">
        <f t="shared" si="4"/>
        <v>0</v>
      </c>
      <c r="Z78">
        <f t="shared" si="5"/>
        <v>0</v>
      </c>
      <c r="AA78">
        <f t="shared" si="10"/>
        <v>0</v>
      </c>
      <c r="AB78">
        <f t="shared" si="11"/>
        <v>0</v>
      </c>
      <c r="AC78">
        <f t="shared" si="12"/>
        <v>0</v>
      </c>
      <c r="AD78">
        <f t="shared" si="6"/>
        <v>0</v>
      </c>
      <c r="AE78">
        <f t="shared" si="7"/>
        <v>0</v>
      </c>
      <c r="AF78">
        <f t="shared" si="0"/>
        <v>5000000</v>
      </c>
    </row>
    <row r="79" spans="1:32" x14ac:dyDescent="0.35">
      <c r="A79" s="1">
        <v>0</v>
      </c>
      <c r="B79" t="s">
        <v>333</v>
      </c>
      <c r="C79" t="s">
        <v>334</v>
      </c>
      <c r="D79" t="s">
        <v>39</v>
      </c>
      <c r="E79" t="s">
        <v>39</v>
      </c>
      <c r="F79" t="s">
        <v>66</v>
      </c>
      <c r="G79">
        <v>33</v>
      </c>
      <c r="H79" t="s">
        <v>335</v>
      </c>
      <c r="I79">
        <v>0.61565655469894409</v>
      </c>
      <c r="J79">
        <v>0.57740688323974609</v>
      </c>
      <c r="K79">
        <v>1</v>
      </c>
      <c r="L79">
        <v>5000000</v>
      </c>
      <c r="M79">
        <v>5000000</v>
      </c>
      <c r="O79" t="s">
        <v>66</v>
      </c>
      <c r="P79">
        <v>1</v>
      </c>
      <c r="Q79">
        <v>6500000</v>
      </c>
      <c r="R79">
        <v>6500000</v>
      </c>
      <c r="S79">
        <f t="shared" si="8"/>
        <v>0</v>
      </c>
      <c r="T79">
        <f t="shared" si="9"/>
        <v>0</v>
      </c>
      <c r="U79">
        <f t="shared" si="1"/>
        <v>0</v>
      </c>
      <c r="V79">
        <v>0</v>
      </c>
      <c r="W79">
        <f t="shared" si="2"/>
        <v>0</v>
      </c>
      <c r="X79">
        <f t="shared" si="3"/>
        <v>1</v>
      </c>
      <c r="Y79">
        <f t="shared" si="4"/>
        <v>1</v>
      </c>
      <c r="Z79">
        <f t="shared" si="5"/>
        <v>1</v>
      </c>
      <c r="AA79">
        <f t="shared" si="10"/>
        <v>1</v>
      </c>
      <c r="AB79">
        <f t="shared" si="11"/>
        <v>1</v>
      </c>
      <c r="AC79">
        <f t="shared" si="12"/>
        <v>1</v>
      </c>
      <c r="AD79">
        <f t="shared" si="6"/>
        <v>1</v>
      </c>
      <c r="AE79">
        <f t="shared" si="7"/>
        <v>0</v>
      </c>
      <c r="AF79">
        <f t="shared" si="0"/>
        <v>5000000</v>
      </c>
    </row>
    <row r="80" spans="1:32" x14ac:dyDescent="0.35">
      <c r="A80" s="1">
        <v>0</v>
      </c>
      <c r="B80" t="s">
        <v>603</v>
      </c>
      <c r="C80" t="s">
        <v>9</v>
      </c>
      <c r="D80" t="s">
        <v>33</v>
      </c>
      <c r="E80" t="s">
        <v>33</v>
      </c>
      <c r="F80" t="s">
        <v>48</v>
      </c>
      <c r="G80">
        <v>31</v>
      </c>
      <c r="H80" t="s">
        <v>604</v>
      </c>
      <c r="I80">
        <v>-4.955713078379631E-2</v>
      </c>
      <c r="J80">
        <v>0.54699242115020752</v>
      </c>
      <c r="K80">
        <v>1</v>
      </c>
      <c r="L80">
        <v>5000000</v>
      </c>
      <c r="M80">
        <v>5000000</v>
      </c>
      <c r="O80" t="s">
        <v>36</v>
      </c>
      <c r="P80">
        <v>2</v>
      </c>
      <c r="Q80">
        <v>22000000</v>
      </c>
      <c r="R80">
        <v>11000000</v>
      </c>
      <c r="S80">
        <f t="shared" si="8"/>
        <v>0</v>
      </c>
      <c r="T80">
        <f t="shared" si="9"/>
        <v>0</v>
      </c>
      <c r="U80">
        <f t="shared" si="1"/>
        <v>1</v>
      </c>
      <c r="V80">
        <v>0</v>
      </c>
      <c r="W80">
        <f t="shared" si="2"/>
        <v>0</v>
      </c>
      <c r="X80">
        <f t="shared" si="3"/>
        <v>0</v>
      </c>
      <c r="Y80">
        <f t="shared" si="4"/>
        <v>0</v>
      </c>
      <c r="Z80">
        <f t="shared" si="5"/>
        <v>0</v>
      </c>
      <c r="AA80">
        <f t="shared" si="10"/>
        <v>0</v>
      </c>
      <c r="AB80">
        <f t="shared" si="11"/>
        <v>0</v>
      </c>
      <c r="AC80">
        <f t="shared" si="12"/>
        <v>0</v>
      </c>
      <c r="AD80">
        <f t="shared" si="6"/>
        <v>0</v>
      </c>
      <c r="AE80">
        <f t="shared" si="7"/>
        <v>0</v>
      </c>
      <c r="AF80">
        <f t="shared" si="0"/>
        <v>5000000</v>
      </c>
    </row>
    <row r="81" spans="1:32" x14ac:dyDescent="0.35">
      <c r="A81" s="1">
        <v>0</v>
      </c>
      <c r="B81" t="s">
        <v>533</v>
      </c>
      <c r="C81" t="s">
        <v>9</v>
      </c>
      <c r="D81" t="s">
        <v>33</v>
      </c>
      <c r="E81" t="s">
        <v>33</v>
      </c>
      <c r="F81" t="s">
        <v>70</v>
      </c>
      <c r="G81">
        <v>37</v>
      </c>
      <c r="H81" t="s">
        <v>534</v>
      </c>
      <c r="I81">
        <v>0.11949363350868225</v>
      </c>
      <c r="J81">
        <v>0.5100407600402832</v>
      </c>
      <c r="L81">
        <v>0</v>
      </c>
      <c r="O81" t="s">
        <v>53</v>
      </c>
      <c r="P81">
        <v>1</v>
      </c>
      <c r="Q81">
        <v>2250000</v>
      </c>
      <c r="R81">
        <v>2250000</v>
      </c>
      <c r="S81">
        <f t="shared" si="8"/>
        <v>0</v>
      </c>
      <c r="T81">
        <f t="shared" si="9"/>
        <v>0</v>
      </c>
      <c r="U81">
        <f t="shared" si="1"/>
        <v>1</v>
      </c>
      <c r="V81">
        <v>0</v>
      </c>
      <c r="W81">
        <f t="shared" si="2"/>
        <v>0</v>
      </c>
      <c r="X81">
        <f t="shared" si="3"/>
        <v>0</v>
      </c>
      <c r="Y81">
        <f t="shared" si="4"/>
        <v>0</v>
      </c>
      <c r="Z81">
        <f t="shared" si="5"/>
        <v>0</v>
      </c>
      <c r="AA81">
        <f t="shared" si="10"/>
        <v>0</v>
      </c>
      <c r="AB81">
        <f t="shared" si="11"/>
        <v>0</v>
      </c>
      <c r="AC81">
        <f t="shared" si="12"/>
        <v>0</v>
      </c>
      <c r="AD81">
        <f t="shared" si="6"/>
        <v>0</v>
      </c>
      <c r="AE81">
        <f t="shared" si="7"/>
        <v>0</v>
      </c>
      <c r="AF81">
        <f t="shared" ref="AF81:AF144" si="13">IF(M81="", R81, M81)</f>
        <v>2250000</v>
      </c>
    </row>
    <row r="82" spans="1:32" x14ac:dyDescent="0.35">
      <c r="A82" s="1">
        <v>0</v>
      </c>
      <c r="B82" t="s">
        <v>156</v>
      </c>
      <c r="C82" t="s">
        <v>9</v>
      </c>
      <c r="D82" t="s">
        <v>39</v>
      </c>
      <c r="E82" t="s">
        <v>39</v>
      </c>
      <c r="F82" t="s">
        <v>97</v>
      </c>
      <c r="G82">
        <v>40</v>
      </c>
      <c r="H82" t="s">
        <v>157</v>
      </c>
      <c r="I82">
        <v>1.8453360795974731</v>
      </c>
      <c r="J82">
        <v>0.5094527006149292</v>
      </c>
      <c r="K82">
        <v>1</v>
      </c>
      <c r="L82">
        <v>10000000</v>
      </c>
      <c r="M82">
        <v>10000000</v>
      </c>
      <c r="O82" t="s">
        <v>134</v>
      </c>
      <c r="P82">
        <v>1</v>
      </c>
      <c r="Q82">
        <v>6000000</v>
      </c>
      <c r="R82">
        <v>6000000</v>
      </c>
      <c r="S82">
        <f t="shared" si="8"/>
        <v>0</v>
      </c>
      <c r="T82">
        <f t="shared" si="9"/>
        <v>0</v>
      </c>
      <c r="U82">
        <f t="shared" si="1"/>
        <v>1</v>
      </c>
      <c r="V82">
        <v>0</v>
      </c>
      <c r="W82">
        <f t="shared" si="2"/>
        <v>0</v>
      </c>
      <c r="X82">
        <f t="shared" si="3"/>
        <v>0</v>
      </c>
      <c r="Y82">
        <f t="shared" si="4"/>
        <v>0</v>
      </c>
      <c r="Z82">
        <f t="shared" si="5"/>
        <v>0</v>
      </c>
      <c r="AA82">
        <f t="shared" si="10"/>
        <v>0</v>
      </c>
      <c r="AB82">
        <f t="shared" si="11"/>
        <v>0</v>
      </c>
      <c r="AC82">
        <f t="shared" si="12"/>
        <v>0</v>
      </c>
      <c r="AD82">
        <f t="shared" si="6"/>
        <v>0</v>
      </c>
      <c r="AE82">
        <f t="shared" si="7"/>
        <v>0</v>
      </c>
      <c r="AF82">
        <f t="shared" si="13"/>
        <v>10000000</v>
      </c>
    </row>
    <row r="83" spans="1:32" x14ac:dyDescent="0.35">
      <c r="A83" s="1">
        <v>0</v>
      </c>
      <c r="B83" t="s">
        <v>412</v>
      </c>
      <c r="C83" t="s">
        <v>3</v>
      </c>
      <c r="D83" t="s">
        <v>39</v>
      </c>
      <c r="E83" t="s">
        <v>39</v>
      </c>
      <c r="F83" t="s">
        <v>102</v>
      </c>
      <c r="G83">
        <v>32</v>
      </c>
      <c r="H83" t="s">
        <v>413</v>
      </c>
      <c r="I83">
        <v>0.40625014901161194</v>
      </c>
      <c r="J83">
        <v>0.50772219896316528</v>
      </c>
      <c r="L83">
        <v>0</v>
      </c>
      <c r="O83" t="s">
        <v>102</v>
      </c>
      <c r="P83">
        <v>1</v>
      </c>
      <c r="Q83">
        <v>4000000</v>
      </c>
      <c r="R83">
        <v>4000000</v>
      </c>
      <c r="S83">
        <f t="shared" si="8"/>
        <v>0</v>
      </c>
      <c r="T83">
        <f t="shared" si="9"/>
        <v>0</v>
      </c>
      <c r="U83">
        <f t="shared" si="1"/>
        <v>0</v>
      </c>
      <c r="V83">
        <v>1</v>
      </c>
      <c r="W83">
        <f t="shared" si="2"/>
        <v>0</v>
      </c>
      <c r="X83">
        <f t="shared" si="3"/>
        <v>0</v>
      </c>
      <c r="Y83">
        <f t="shared" si="4"/>
        <v>0</v>
      </c>
      <c r="Z83">
        <f t="shared" si="5"/>
        <v>0</v>
      </c>
      <c r="AA83">
        <f t="shared" si="10"/>
        <v>0</v>
      </c>
      <c r="AB83">
        <f t="shared" si="11"/>
        <v>0</v>
      </c>
      <c r="AC83">
        <f t="shared" si="12"/>
        <v>0</v>
      </c>
      <c r="AD83">
        <f t="shared" si="6"/>
        <v>0</v>
      </c>
      <c r="AE83">
        <f t="shared" si="7"/>
        <v>0</v>
      </c>
      <c r="AF83">
        <f t="shared" si="13"/>
        <v>4000000</v>
      </c>
    </row>
    <row r="84" spans="1:32" x14ac:dyDescent="0.35">
      <c r="A84" s="1">
        <v>0</v>
      </c>
      <c r="B84" t="s">
        <v>324</v>
      </c>
      <c r="C84" t="s">
        <v>10</v>
      </c>
      <c r="D84" t="s">
        <v>39</v>
      </c>
      <c r="E84" t="s">
        <v>39</v>
      </c>
      <c r="F84" t="s">
        <v>134</v>
      </c>
      <c r="G84">
        <v>32</v>
      </c>
      <c r="H84" t="s">
        <v>325</v>
      </c>
      <c r="I84">
        <v>0.65727376937866211</v>
      </c>
      <c r="J84">
        <v>0.48997864127159119</v>
      </c>
      <c r="K84">
        <v>1</v>
      </c>
      <c r="L84">
        <v>5000000</v>
      </c>
      <c r="M84">
        <v>5000000</v>
      </c>
      <c r="O84" t="s">
        <v>86</v>
      </c>
      <c r="P84">
        <v>1</v>
      </c>
      <c r="Q84">
        <v>1000000</v>
      </c>
      <c r="R84">
        <v>1000000</v>
      </c>
      <c r="S84">
        <f t="shared" si="8"/>
        <v>0</v>
      </c>
      <c r="T84">
        <f t="shared" si="9"/>
        <v>1</v>
      </c>
      <c r="U84">
        <f t="shared" si="1"/>
        <v>0</v>
      </c>
      <c r="V84">
        <v>0</v>
      </c>
      <c r="W84">
        <f t="shared" si="2"/>
        <v>0</v>
      </c>
      <c r="X84">
        <f t="shared" si="3"/>
        <v>0</v>
      </c>
      <c r="Y84">
        <f t="shared" si="4"/>
        <v>0</v>
      </c>
      <c r="Z84">
        <f t="shared" si="5"/>
        <v>0</v>
      </c>
      <c r="AA84">
        <f t="shared" si="10"/>
        <v>0</v>
      </c>
      <c r="AB84">
        <f t="shared" si="11"/>
        <v>0</v>
      </c>
      <c r="AC84">
        <f t="shared" si="12"/>
        <v>0</v>
      </c>
      <c r="AD84">
        <f t="shared" si="6"/>
        <v>0</v>
      </c>
      <c r="AE84">
        <f t="shared" si="7"/>
        <v>0</v>
      </c>
      <c r="AF84">
        <f t="shared" si="13"/>
        <v>5000000</v>
      </c>
    </row>
    <row r="85" spans="1:32" x14ac:dyDescent="0.35">
      <c r="A85" s="1">
        <v>0</v>
      </c>
      <c r="B85" t="s">
        <v>221</v>
      </c>
      <c r="C85" t="s">
        <v>222</v>
      </c>
      <c r="D85" t="s">
        <v>39</v>
      </c>
      <c r="E85" t="s">
        <v>39</v>
      </c>
      <c r="F85" t="s">
        <v>149</v>
      </c>
      <c r="G85">
        <v>40</v>
      </c>
      <c r="H85" t="s">
        <v>223</v>
      </c>
      <c r="I85">
        <v>1.155468225479126</v>
      </c>
      <c r="J85">
        <v>0.48882424831390381</v>
      </c>
      <c r="K85">
        <v>1</v>
      </c>
      <c r="L85">
        <v>8000000</v>
      </c>
      <c r="M85">
        <v>8000000</v>
      </c>
      <c r="O85" t="s">
        <v>104</v>
      </c>
      <c r="P85">
        <v>1</v>
      </c>
      <c r="Q85">
        <v>6000000</v>
      </c>
      <c r="R85">
        <v>6000000</v>
      </c>
      <c r="S85">
        <f t="shared" si="8"/>
        <v>0</v>
      </c>
      <c r="T85">
        <f t="shared" si="9"/>
        <v>0</v>
      </c>
      <c r="U85">
        <f t="shared" si="1"/>
        <v>0</v>
      </c>
      <c r="V85">
        <v>0</v>
      </c>
      <c r="W85">
        <f t="shared" si="2"/>
        <v>1</v>
      </c>
      <c r="X85">
        <f t="shared" si="3"/>
        <v>0</v>
      </c>
      <c r="Y85">
        <f t="shared" si="4"/>
        <v>0</v>
      </c>
      <c r="Z85">
        <f t="shared" si="5"/>
        <v>0</v>
      </c>
      <c r="AA85">
        <f t="shared" si="10"/>
        <v>0</v>
      </c>
      <c r="AB85">
        <f t="shared" si="11"/>
        <v>0</v>
      </c>
      <c r="AC85">
        <f t="shared" si="12"/>
        <v>0</v>
      </c>
      <c r="AD85">
        <f t="shared" si="6"/>
        <v>0</v>
      </c>
      <c r="AE85">
        <f t="shared" si="7"/>
        <v>1</v>
      </c>
      <c r="AF85">
        <f t="shared" si="13"/>
        <v>8000000</v>
      </c>
    </row>
    <row r="86" spans="1:32" x14ac:dyDescent="0.35">
      <c r="A86" s="1">
        <v>0</v>
      </c>
      <c r="B86" t="s">
        <v>280</v>
      </c>
      <c r="C86" t="s">
        <v>10</v>
      </c>
      <c r="D86" t="s">
        <v>39</v>
      </c>
      <c r="E86" t="s">
        <v>39</v>
      </c>
      <c r="F86" t="s">
        <v>70</v>
      </c>
      <c r="G86">
        <v>32</v>
      </c>
      <c r="H86" t="s">
        <v>281</v>
      </c>
      <c r="I86">
        <v>0.84156197309494019</v>
      </c>
      <c r="J86">
        <v>0.48005053400993347</v>
      </c>
      <c r="K86">
        <v>1</v>
      </c>
      <c r="L86">
        <v>6000000</v>
      </c>
      <c r="M86">
        <v>6000000</v>
      </c>
      <c r="O86" t="s">
        <v>102</v>
      </c>
      <c r="P86">
        <v>1</v>
      </c>
      <c r="Q86">
        <v>4500000</v>
      </c>
      <c r="R86">
        <v>4500000</v>
      </c>
      <c r="S86">
        <f t="shared" si="8"/>
        <v>0</v>
      </c>
      <c r="T86">
        <f t="shared" si="9"/>
        <v>1</v>
      </c>
      <c r="U86">
        <f t="shared" si="1"/>
        <v>0</v>
      </c>
      <c r="V86">
        <v>0</v>
      </c>
      <c r="W86">
        <f t="shared" si="2"/>
        <v>0</v>
      </c>
      <c r="X86">
        <f t="shared" si="3"/>
        <v>0</v>
      </c>
      <c r="Y86">
        <f t="shared" si="4"/>
        <v>0</v>
      </c>
      <c r="Z86">
        <f t="shared" si="5"/>
        <v>0</v>
      </c>
      <c r="AA86">
        <f t="shared" si="10"/>
        <v>0</v>
      </c>
      <c r="AB86">
        <f t="shared" si="11"/>
        <v>0</v>
      </c>
      <c r="AC86">
        <f t="shared" si="12"/>
        <v>0</v>
      </c>
      <c r="AD86">
        <f t="shared" si="6"/>
        <v>0</v>
      </c>
      <c r="AE86">
        <f t="shared" si="7"/>
        <v>0</v>
      </c>
      <c r="AF86">
        <f t="shared" si="13"/>
        <v>6000000</v>
      </c>
    </row>
    <row r="87" spans="1:32" x14ac:dyDescent="0.35">
      <c r="A87" s="1">
        <v>0</v>
      </c>
      <c r="B87" t="s">
        <v>609</v>
      </c>
      <c r="C87" t="s">
        <v>191</v>
      </c>
      <c r="D87" t="s">
        <v>39</v>
      </c>
      <c r="E87" t="s">
        <v>39</v>
      </c>
      <c r="F87" t="s">
        <v>81</v>
      </c>
      <c r="G87">
        <v>37</v>
      </c>
      <c r="H87" t="s">
        <v>278</v>
      </c>
      <c r="I87">
        <v>-6.2733389437198639E-2</v>
      </c>
      <c r="J87">
        <v>0.47512528300285339</v>
      </c>
      <c r="K87">
        <v>1</v>
      </c>
      <c r="L87">
        <v>3000000</v>
      </c>
      <c r="M87">
        <v>3000000</v>
      </c>
      <c r="O87" t="s">
        <v>125</v>
      </c>
      <c r="P87">
        <v>1</v>
      </c>
      <c r="Q87">
        <v>4025000</v>
      </c>
      <c r="R87">
        <v>4025000</v>
      </c>
      <c r="S87">
        <f t="shared" si="8"/>
        <v>0</v>
      </c>
      <c r="T87">
        <f t="shared" si="9"/>
        <v>0</v>
      </c>
      <c r="U87">
        <f t="shared" ref="U87:U150" si="14">IF(ISNUMBER(SEARCH("RP", $C87)), 1, 0)</f>
        <v>0</v>
      </c>
      <c r="V87">
        <v>0</v>
      </c>
      <c r="W87">
        <f t="shared" ref="W87:W150" si="15">IF(ISNUMBER(SEARCH("1B", $C87)), 1, 0)</f>
        <v>0</v>
      </c>
      <c r="X87">
        <f t="shared" ref="X87:X150" si="16">IF(ISNUMBER(SEARCH("2B", $C87)), 1, 0)</f>
        <v>0</v>
      </c>
      <c r="Y87">
        <f t="shared" ref="Y87:Y150" si="17">IF(ISNUMBER(SEARCH("SS", $C87)), 1, 0)</f>
        <v>0</v>
      </c>
      <c r="Z87">
        <f t="shared" ref="Z87:Z150" si="18">IF(ISNUMBER(SEARCH("3B", $C87)), 1, 0)</f>
        <v>0</v>
      </c>
      <c r="AA87">
        <f t="shared" si="10"/>
        <v>1</v>
      </c>
      <c r="AB87">
        <f t="shared" si="11"/>
        <v>0</v>
      </c>
      <c r="AC87">
        <f t="shared" si="12"/>
        <v>1</v>
      </c>
      <c r="AD87">
        <f t="shared" ref="AD87:AD150" si="19">IF(ISNUMBER(SEARCH("OF", $C87)), 1, 0)</f>
        <v>0</v>
      </c>
      <c r="AE87">
        <f t="shared" ref="AE87:AE150" si="20">IF(ISNUMBER(SEARCH("DH", $C87)), 1, 0)</f>
        <v>1</v>
      </c>
      <c r="AF87">
        <f t="shared" si="13"/>
        <v>3000000</v>
      </c>
    </row>
    <row r="88" spans="1:32" x14ac:dyDescent="0.35">
      <c r="A88" s="1">
        <v>0</v>
      </c>
      <c r="B88" t="s">
        <v>276</v>
      </c>
      <c r="C88" t="s">
        <v>277</v>
      </c>
      <c r="D88" t="s">
        <v>39</v>
      </c>
      <c r="E88" t="s">
        <v>39</v>
      </c>
      <c r="F88" t="s">
        <v>42</v>
      </c>
      <c r="G88">
        <v>36</v>
      </c>
      <c r="H88" t="s">
        <v>278</v>
      </c>
      <c r="I88">
        <v>0.84329807758331299</v>
      </c>
      <c r="J88">
        <v>0.46673786640167236</v>
      </c>
      <c r="K88">
        <v>1</v>
      </c>
      <c r="L88">
        <v>8000000</v>
      </c>
      <c r="M88">
        <v>8000000</v>
      </c>
      <c r="O88" t="s">
        <v>81</v>
      </c>
      <c r="P88">
        <v>1</v>
      </c>
      <c r="Q88">
        <v>1400000</v>
      </c>
      <c r="R88">
        <v>1400000</v>
      </c>
      <c r="S88">
        <f t="shared" ref="S88:S151" si="21">IF(N88&gt;0, 1, 0)</f>
        <v>0</v>
      </c>
      <c r="T88">
        <f t="shared" ref="T88:T151" si="22">IF(ISNUMBER(SEARCH("SP", $C88)), 1, 0)</f>
        <v>0</v>
      </c>
      <c r="U88">
        <f t="shared" si="14"/>
        <v>0</v>
      </c>
      <c r="V88">
        <v>0</v>
      </c>
      <c r="W88">
        <f t="shared" si="15"/>
        <v>1</v>
      </c>
      <c r="X88">
        <f t="shared" si="16"/>
        <v>0</v>
      </c>
      <c r="Y88">
        <f t="shared" si="17"/>
        <v>0</v>
      </c>
      <c r="Z88">
        <f t="shared" si="18"/>
        <v>0</v>
      </c>
      <c r="AA88">
        <f t="shared" ref="AA88:AA151" si="23">IF($AD88=1, 1, IF(ISNUMBER(SEARCH("LF", $C88)), 1, 0))</f>
        <v>1</v>
      </c>
      <c r="AB88">
        <f t="shared" ref="AB88:AB151" si="24">IF($AD88=1, 1, IF(ISNUMBER(SEARCH("CF", $C88)), 1, 0))</f>
        <v>0</v>
      </c>
      <c r="AC88">
        <f t="shared" ref="AC88:AC151" si="25">IF($AD88=1, 1, IF(ISNUMBER(SEARCH("RF", $C88)), 1, 0))</f>
        <v>1</v>
      </c>
      <c r="AD88">
        <f t="shared" si="19"/>
        <v>0</v>
      </c>
      <c r="AE88">
        <f t="shared" si="20"/>
        <v>0</v>
      </c>
      <c r="AF88">
        <f t="shared" si="13"/>
        <v>8000000</v>
      </c>
    </row>
    <row r="89" spans="1:32" x14ac:dyDescent="0.35">
      <c r="A89" s="1">
        <v>0</v>
      </c>
      <c r="B89" t="s">
        <v>650</v>
      </c>
      <c r="C89" t="s">
        <v>273</v>
      </c>
      <c r="D89" t="s">
        <v>39</v>
      </c>
      <c r="E89" t="s">
        <v>39</v>
      </c>
      <c r="F89" t="s">
        <v>56</v>
      </c>
      <c r="G89">
        <v>32</v>
      </c>
      <c r="H89" t="s">
        <v>651</v>
      </c>
      <c r="I89">
        <v>-0.17791733145713806</v>
      </c>
      <c r="J89">
        <v>0.4653795063495636</v>
      </c>
      <c r="K89">
        <v>1</v>
      </c>
      <c r="L89">
        <v>4000000</v>
      </c>
      <c r="M89">
        <v>4000000</v>
      </c>
      <c r="O89" t="s">
        <v>151</v>
      </c>
      <c r="P89">
        <v>1</v>
      </c>
      <c r="Q89">
        <v>1750000</v>
      </c>
      <c r="R89">
        <v>1750000</v>
      </c>
      <c r="S89">
        <f t="shared" si="21"/>
        <v>0</v>
      </c>
      <c r="T89">
        <f t="shared" si="22"/>
        <v>0</v>
      </c>
      <c r="U89">
        <f t="shared" si="14"/>
        <v>0</v>
      </c>
      <c r="V89">
        <v>0</v>
      </c>
      <c r="W89">
        <f t="shared" si="15"/>
        <v>0</v>
      </c>
      <c r="X89">
        <f t="shared" si="16"/>
        <v>0</v>
      </c>
      <c r="Y89">
        <f t="shared" si="17"/>
        <v>0</v>
      </c>
      <c r="Z89">
        <f t="shared" si="18"/>
        <v>0</v>
      </c>
      <c r="AA89">
        <f t="shared" si="23"/>
        <v>1</v>
      </c>
      <c r="AB89">
        <f t="shared" si="24"/>
        <v>1</v>
      </c>
      <c r="AC89">
        <f t="shared" si="25"/>
        <v>1</v>
      </c>
      <c r="AD89">
        <f t="shared" si="19"/>
        <v>0</v>
      </c>
      <c r="AE89">
        <f t="shared" si="20"/>
        <v>0</v>
      </c>
      <c r="AF89">
        <f t="shared" si="13"/>
        <v>4000000</v>
      </c>
    </row>
    <row r="90" spans="1:32" x14ac:dyDescent="0.35">
      <c r="A90" s="1">
        <v>1</v>
      </c>
      <c r="B90" t="s">
        <v>292</v>
      </c>
      <c r="C90" t="s">
        <v>293</v>
      </c>
      <c r="D90" t="s">
        <v>39</v>
      </c>
      <c r="E90" t="s">
        <v>39</v>
      </c>
      <c r="F90" t="s">
        <v>46</v>
      </c>
      <c r="G90">
        <v>37</v>
      </c>
      <c r="H90" t="s">
        <v>294</v>
      </c>
      <c r="I90">
        <v>0.77848356962203979</v>
      </c>
      <c r="J90">
        <v>0.44243860244750977</v>
      </c>
      <c r="L90">
        <v>0</v>
      </c>
      <c r="O90" t="s">
        <v>149</v>
      </c>
      <c r="P90">
        <v>1</v>
      </c>
      <c r="Q90">
        <v>3500000</v>
      </c>
      <c r="R90">
        <v>3500000</v>
      </c>
      <c r="S90">
        <f t="shared" si="21"/>
        <v>0</v>
      </c>
      <c r="T90">
        <f t="shared" si="22"/>
        <v>0</v>
      </c>
      <c r="U90">
        <f t="shared" si="14"/>
        <v>0</v>
      </c>
      <c r="V90">
        <v>0</v>
      </c>
      <c r="W90">
        <f t="shared" si="15"/>
        <v>1</v>
      </c>
      <c r="X90">
        <f t="shared" si="16"/>
        <v>0</v>
      </c>
      <c r="Y90">
        <f t="shared" si="17"/>
        <v>0</v>
      </c>
      <c r="Z90">
        <f t="shared" si="18"/>
        <v>1</v>
      </c>
      <c r="AA90">
        <f t="shared" si="23"/>
        <v>0</v>
      </c>
      <c r="AB90">
        <f t="shared" si="24"/>
        <v>0</v>
      </c>
      <c r="AC90">
        <f t="shared" si="25"/>
        <v>0</v>
      </c>
      <c r="AD90">
        <f t="shared" si="19"/>
        <v>0</v>
      </c>
      <c r="AE90">
        <f t="shared" si="20"/>
        <v>1</v>
      </c>
      <c r="AF90">
        <f t="shared" si="13"/>
        <v>3500000</v>
      </c>
    </row>
    <row r="91" spans="1:32" x14ac:dyDescent="0.35">
      <c r="A91" s="1">
        <v>0</v>
      </c>
      <c r="B91" t="s">
        <v>187</v>
      </c>
      <c r="C91" t="s">
        <v>9</v>
      </c>
      <c r="D91" t="s">
        <v>45</v>
      </c>
      <c r="E91" t="s">
        <v>39</v>
      </c>
      <c r="F91" t="s">
        <v>53</v>
      </c>
      <c r="G91">
        <v>37</v>
      </c>
      <c r="H91" t="s">
        <v>188</v>
      </c>
      <c r="I91">
        <v>1.4145267009735107</v>
      </c>
      <c r="J91">
        <v>0.440388023853302</v>
      </c>
      <c r="K91">
        <v>1</v>
      </c>
      <c r="L91">
        <v>12000000</v>
      </c>
      <c r="M91">
        <v>12000000</v>
      </c>
      <c r="O91" t="s">
        <v>62</v>
      </c>
      <c r="P91">
        <v>1</v>
      </c>
      <c r="Q91">
        <v>10000000</v>
      </c>
      <c r="R91">
        <v>10000000</v>
      </c>
      <c r="S91">
        <f t="shared" si="21"/>
        <v>0</v>
      </c>
      <c r="T91">
        <f t="shared" si="22"/>
        <v>0</v>
      </c>
      <c r="U91">
        <f t="shared" si="14"/>
        <v>1</v>
      </c>
      <c r="V91">
        <v>0</v>
      </c>
      <c r="W91">
        <f t="shared" si="15"/>
        <v>0</v>
      </c>
      <c r="X91">
        <f t="shared" si="16"/>
        <v>0</v>
      </c>
      <c r="Y91">
        <f t="shared" si="17"/>
        <v>0</v>
      </c>
      <c r="Z91">
        <f t="shared" si="18"/>
        <v>0</v>
      </c>
      <c r="AA91">
        <f t="shared" si="23"/>
        <v>0</v>
      </c>
      <c r="AB91">
        <f t="shared" si="24"/>
        <v>0</v>
      </c>
      <c r="AC91">
        <f t="shared" si="25"/>
        <v>0</v>
      </c>
      <c r="AD91">
        <f t="shared" si="19"/>
        <v>0</v>
      </c>
      <c r="AE91">
        <f t="shared" si="20"/>
        <v>0</v>
      </c>
      <c r="AF91">
        <f t="shared" si="13"/>
        <v>12000000</v>
      </c>
    </row>
    <row r="92" spans="1:32" x14ac:dyDescent="0.35">
      <c r="A92" s="1">
        <v>0</v>
      </c>
      <c r="B92" t="s">
        <v>283</v>
      </c>
      <c r="C92" t="s">
        <v>65</v>
      </c>
      <c r="D92" t="s">
        <v>33</v>
      </c>
      <c r="E92" t="s">
        <v>33</v>
      </c>
      <c r="F92" t="s">
        <v>51</v>
      </c>
      <c r="G92">
        <v>35</v>
      </c>
      <c r="H92" t="s">
        <v>284</v>
      </c>
      <c r="I92">
        <v>0.83742117881774902</v>
      </c>
      <c r="J92">
        <v>0.43120884895324707</v>
      </c>
      <c r="K92">
        <v>1</v>
      </c>
      <c r="L92">
        <v>6000000</v>
      </c>
      <c r="M92">
        <v>6000000</v>
      </c>
      <c r="O92" t="s">
        <v>46</v>
      </c>
      <c r="P92">
        <v>1</v>
      </c>
      <c r="Q92">
        <v>1000000</v>
      </c>
      <c r="R92">
        <v>1000000</v>
      </c>
      <c r="S92">
        <f t="shared" si="21"/>
        <v>0</v>
      </c>
      <c r="T92">
        <f t="shared" si="22"/>
        <v>0</v>
      </c>
      <c r="U92">
        <f t="shared" si="14"/>
        <v>0</v>
      </c>
      <c r="V92">
        <v>0</v>
      </c>
      <c r="W92">
        <f t="shared" si="15"/>
        <v>0</v>
      </c>
      <c r="X92">
        <f t="shared" si="16"/>
        <v>0</v>
      </c>
      <c r="Y92">
        <f t="shared" si="17"/>
        <v>0</v>
      </c>
      <c r="Z92">
        <f t="shared" si="18"/>
        <v>0</v>
      </c>
      <c r="AA92">
        <f t="shared" si="23"/>
        <v>1</v>
      </c>
      <c r="AB92">
        <f t="shared" si="24"/>
        <v>0</v>
      </c>
      <c r="AC92">
        <f t="shared" si="25"/>
        <v>1</v>
      </c>
      <c r="AD92">
        <f t="shared" si="19"/>
        <v>0</v>
      </c>
      <c r="AE92">
        <f t="shared" si="20"/>
        <v>0</v>
      </c>
      <c r="AF92">
        <f t="shared" si="13"/>
        <v>6000000</v>
      </c>
    </row>
    <row r="93" spans="1:32" x14ac:dyDescent="0.35">
      <c r="A93" s="1">
        <v>0</v>
      </c>
      <c r="B93" t="s">
        <v>508</v>
      </c>
      <c r="C93" t="s">
        <v>116</v>
      </c>
      <c r="D93" t="s">
        <v>39</v>
      </c>
      <c r="E93" t="s">
        <v>39</v>
      </c>
      <c r="F93" t="s">
        <v>134</v>
      </c>
      <c r="G93">
        <v>29</v>
      </c>
      <c r="H93" t="s">
        <v>290</v>
      </c>
      <c r="I93">
        <v>0.16543266177177429</v>
      </c>
      <c r="J93">
        <v>0.42910003662109375</v>
      </c>
      <c r="L93">
        <v>0</v>
      </c>
      <c r="O93" t="s">
        <v>70</v>
      </c>
      <c r="P93">
        <v>1</v>
      </c>
      <c r="Q93">
        <v>5000000</v>
      </c>
      <c r="R93">
        <v>5000000</v>
      </c>
      <c r="S93">
        <f t="shared" si="21"/>
        <v>0</v>
      </c>
      <c r="T93">
        <f t="shared" si="22"/>
        <v>0</v>
      </c>
      <c r="U93">
        <f t="shared" si="14"/>
        <v>0</v>
      </c>
      <c r="V93">
        <v>0</v>
      </c>
      <c r="W93">
        <f t="shared" si="15"/>
        <v>0</v>
      </c>
      <c r="X93">
        <f t="shared" si="16"/>
        <v>0</v>
      </c>
      <c r="Y93">
        <f t="shared" si="17"/>
        <v>0</v>
      </c>
      <c r="Z93">
        <f t="shared" si="18"/>
        <v>0</v>
      </c>
      <c r="AA93">
        <f t="shared" si="23"/>
        <v>1</v>
      </c>
      <c r="AB93">
        <f t="shared" si="24"/>
        <v>1</v>
      </c>
      <c r="AC93">
        <f t="shared" si="25"/>
        <v>1</v>
      </c>
      <c r="AD93">
        <f t="shared" si="19"/>
        <v>0</v>
      </c>
      <c r="AE93">
        <f t="shared" si="20"/>
        <v>0</v>
      </c>
      <c r="AF93">
        <f t="shared" si="13"/>
        <v>5000000</v>
      </c>
    </row>
    <row r="94" spans="1:32" x14ac:dyDescent="0.35">
      <c r="A94" s="1">
        <v>0</v>
      </c>
      <c r="B94" t="s">
        <v>456</v>
      </c>
      <c r="C94" t="s">
        <v>9</v>
      </c>
      <c r="D94" t="s">
        <v>39</v>
      </c>
      <c r="E94" t="s">
        <v>33</v>
      </c>
      <c r="F94" t="s">
        <v>51</v>
      </c>
      <c r="G94">
        <v>28</v>
      </c>
      <c r="H94" t="s">
        <v>457</v>
      </c>
      <c r="I94">
        <v>0.27226126194000244</v>
      </c>
      <c r="J94">
        <v>0.41508489847183228</v>
      </c>
      <c r="K94">
        <v>1</v>
      </c>
      <c r="L94">
        <v>3000000</v>
      </c>
      <c r="M94">
        <v>3000000</v>
      </c>
      <c r="O94" t="s">
        <v>125</v>
      </c>
      <c r="P94">
        <v>1</v>
      </c>
      <c r="Q94">
        <v>3000000</v>
      </c>
      <c r="R94">
        <v>3000000</v>
      </c>
      <c r="S94">
        <f t="shared" si="21"/>
        <v>0</v>
      </c>
      <c r="T94">
        <f t="shared" si="22"/>
        <v>0</v>
      </c>
      <c r="U94">
        <f t="shared" si="14"/>
        <v>1</v>
      </c>
      <c r="V94">
        <v>0</v>
      </c>
      <c r="W94">
        <f t="shared" si="15"/>
        <v>0</v>
      </c>
      <c r="X94">
        <f t="shared" si="16"/>
        <v>0</v>
      </c>
      <c r="Y94">
        <f t="shared" si="17"/>
        <v>0</v>
      </c>
      <c r="Z94">
        <f t="shared" si="18"/>
        <v>0</v>
      </c>
      <c r="AA94">
        <f t="shared" si="23"/>
        <v>0</v>
      </c>
      <c r="AB94">
        <f t="shared" si="24"/>
        <v>0</v>
      </c>
      <c r="AC94">
        <f t="shared" si="25"/>
        <v>0</v>
      </c>
      <c r="AD94">
        <f t="shared" si="19"/>
        <v>0</v>
      </c>
      <c r="AE94">
        <f t="shared" si="20"/>
        <v>0</v>
      </c>
      <c r="AF94">
        <f t="shared" si="13"/>
        <v>3000000</v>
      </c>
    </row>
    <row r="95" spans="1:32" x14ac:dyDescent="0.35">
      <c r="A95" s="1">
        <v>0</v>
      </c>
      <c r="B95" t="s">
        <v>144</v>
      </c>
      <c r="C95" t="s">
        <v>9</v>
      </c>
      <c r="D95" t="s">
        <v>33</v>
      </c>
      <c r="E95" t="s">
        <v>39</v>
      </c>
      <c r="F95" t="s">
        <v>97</v>
      </c>
      <c r="G95">
        <v>38</v>
      </c>
      <c r="H95" t="s">
        <v>145</v>
      </c>
      <c r="I95">
        <v>1.8954391479492188</v>
      </c>
      <c r="J95">
        <v>0.41145837306976318</v>
      </c>
      <c r="K95">
        <v>1</v>
      </c>
      <c r="L95">
        <v>9000000</v>
      </c>
      <c r="M95">
        <v>9000000</v>
      </c>
      <c r="O95" t="s">
        <v>66</v>
      </c>
      <c r="P95">
        <v>1</v>
      </c>
      <c r="Q95">
        <v>13000000</v>
      </c>
      <c r="R95">
        <v>13000000</v>
      </c>
      <c r="S95">
        <f t="shared" si="21"/>
        <v>0</v>
      </c>
      <c r="T95">
        <f t="shared" si="22"/>
        <v>0</v>
      </c>
      <c r="U95">
        <f t="shared" si="14"/>
        <v>1</v>
      </c>
      <c r="V95">
        <v>0</v>
      </c>
      <c r="W95">
        <f t="shared" si="15"/>
        <v>0</v>
      </c>
      <c r="X95">
        <f t="shared" si="16"/>
        <v>0</v>
      </c>
      <c r="Y95">
        <f t="shared" si="17"/>
        <v>0</v>
      </c>
      <c r="Z95">
        <f t="shared" si="18"/>
        <v>0</v>
      </c>
      <c r="AA95">
        <f t="shared" si="23"/>
        <v>0</v>
      </c>
      <c r="AB95">
        <f t="shared" si="24"/>
        <v>0</v>
      </c>
      <c r="AC95">
        <f t="shared" si="25"/>
        <v>0</v>
      </c>
      <c r="AD95">
        <f t="shared" si="19"/>
        <v>0</v>
      </c>
      <c r="AE95">
        <f t="shared" si="20"/>
        <v>0</v>
      </c>
      <c r="AF95">
        <f t="shared" si="13"/>
        <v>9000000</v>
      </c>
    </row>
    <row r="96" spans="1:32" x14ac:dyDescent="0.35">
      <c r="A96" s="1">
        <v>0</v>
      </c>
      <c r="B96" t="s">
        <v>496</v>
      </c>
      <c r="C96" t="s">
        <v>9</v>
      </c>
      <c r="D96" t="s">
        <v>39</v>
      </c>
      <c r="E96" t="s">
        <v>33</v>
      </c>
      <c r="F96" t="s">
        <v>100</v>
      </c>
      <c r="G96">
        <v>38</v>
      </c>
      <c r="H96" t="s">
        <v>497</v>
      </c>
      <c r="I96">
        <v>0.19309237599372864</v>
      </c>
      <c r="J96">
        <v>0.39941444993019104</v>
      </c>
      <c r="K96">
        <v>1</v>
      </c>
      <c r="L96">
        <v>3000000</v>
      </c>
      <c r="M96">
        <v>3000000</v>
      </c>
      <c r="O96" t="s">
        <v>104</v>
      </c>
      <c r="P96">
        <v>1</v>
      </c>
      <c r="Q96">
        <v>2750000</v>
      </c>
      <c r="R96">
        <v>2750000</v>
      </c>
      <c r="S96">
        <f t="shared" si="21"/>
        <v>0</v>
      </c>
      <c r="T96">
        <f t="shared" si="22"/>
        <v>0</v>
      </c>
      <c r="U96">
        <f t="shared" si="14"/>
        <v>1</v>
      </c>
      <c r="V96">
        <v>0</v>
      </c>
      <c r="W96">
        <f t="shared" si="15"/>
        <v>0</v>
      </c>
      <c r="X96">
        <f t="shared" si="16"/>
        <v>0</v>
      </c>
      <c r="Y96">
        <f t="shared" si="17"/>
        <v>0</v>
      </c>
      <c r="Z96">
        <f t="shared" si="18"/>
        <v>0</v>
      </c>
      <c r="AA96">
        <f t="shared" si="23"/>
        <v>0</v>
      </c>
      <c r="AB96">
        <f t="shared" si="24"/>
        <v>0</v>
      </c>
      <c r="AC96">
        <f t="shared" si="25"/>
        <v>0</v>
      </c>
      <c r="AD96">
        <f t="shared" si="19"/>
        <v>0</v>
      </c>
      <c r="AE96">
        <f t="shared" si="20"/>
        <v>0</v>
      </c>
      <c r="AF96">
        <f t="shared" si="13"/>
        <v>3000000</v>
      </c>
    </row>
    <row r="97" spans="1:32" x14ac:dyDescent="0.35">
      <c r="A97" s="1">
        <v>0</v>
      </c>
      <c r="B97" t="s">
        <v>272</v>
      </c>
      <c r="C97" t="s">
        <v>273</v>
      </c>
      <c r="D97" t="s">
        <v>39</v>
      </c>
      <c r="E97" t="s">
        <v>39</v>
      </c>
      <c r="F97" t="s">
        <v>48</v>
      </c>
      <c r="G97">
        <v>30</v>
      </c>
      <c r="H97" t="s">
        <v>274</v>
      </c>
      <c r="I97">
        <v>0.8853071928024292</v>
      </c>
      <c r="J97">
        <v>0.39796406030654913</v>
      </c>
      <c r="L97">
        <v>0</v>
      </c>
      <c r="O97" t="s">
        <v>56</v>
      </c>
      <c r="P97">
        <v>1</v>
      </c>
      <c r="Q97">
        <v>4000000</v>
      </c>
      <c r="R97">
        <v>4000000</v>
      </c>
      <c r="S97">
        <f t="shared" si="21"/>
        <v>0</v>
      </c>
      <c r="T97">
        <f t="shared" si="22"/>
        <v>0</v>
      </c>
      <c r="U97">
        <f t="shared" si="14"/>
        <v>0</v>
      </c>
      <c r="V97">
        <v>0</v>
      </c>
      <c r="W97">
        <f t="shared" si="15"/>
        <v>0</v>
      </c>
      <c r="X97">
        <f t="shared" si="16"/>
        <v>0</v>
      </c>
      <c r="Y97">
        <f t="shared" si="17"/>
        <v>0</v>
      </c>
      <c r="Z97">
        <f t="shared" si="18"/>
        <v>0</v>
      </c>
      <c r="AA97">
        <f t="shared" si="23"/>
        <v>1</v>
      </c>
      <c r="AB97">
        <f t="shared" si="24"/>
        <v>1</v>
      </c>
      <c r="AC97">
        <f t="shared" si="25"/>
        <v>1</v>
      </c>
      <c r="AD97">
        <f t="shared" si="19"/>
        <v>0</v>
      </c>
      <c r="AE97">
        <f t="shared" si="20"/>
        <v>0</v>
      </c>
      <c r="AF97">
        <f t="shared" si="13"/>
        <v>4000000</v>
      </c>
    </row>
    <row r="98" spans="1:32" x14ac:dyDescent="0.35">
      <c r="A98" s="1">
        <v>0</v>
      </c>
      <c r="B98" t="s">
        <v>673</v>
      </c>
      <c r="C98" t="s">
        <v>116</v>
      </c>
      <c r="D98" t="s">
        <v>39</v>
      </c>
      <c r="E98" t="s">
        <v>39</v>
      </c>
      <c r="F98" t="s">
        <v>100</v>
      </c>
      <c r="G98">
        <v>30</v>
      </c>
      <c r="H98" t="s">
        <v>674</v>
      </c>
      <c r="I98">
        <v>-0.20828850567340851</v>
      </c>
      <c r="J98">
        <v>0.38682490587234497</v>
      </c>
      <c r="L98">
        <v>0</v>
      </c>
      <c r="O98" t="s">
        <v>78</v>
      </c>
      <c r="P98">
        <v>1</v>
      </c>
      <c r="Q98">
        <v>293548</v>
      </c>
      <c r="R98">
        <v>293548</v>
      </c>
      <c r="S98">
        <f t="shared" si="21"/>
        <v>0</v>
      </c>
      <c r="T98">
        <f t="shared" si="22"/>
        <v>0</v>
      </c>
      <c r="U98">
        <f t="shared" si="14"/>
        <v>0</v>
      </c>
      <c r="V98">
        <v>0</v>
      </c>
      <c r="W98">
        <f t="shared" si="15"/>
        <v>0</v>
      </c>
      <c r="X98">
        <f t="shared" si="16"/>
        <v>0</v>
      </c>
      <c r="Y98">
        <f t="shared" si="17"/>
        <v>0</v>
      </c>
      <c r="Z98">
        <f t="shared" si="18"/>
        <v>0</v>
      </c>
      <c r="AA98">
        <f t="shared" si="23"/>
        <v>1</v>
      </c>
      <c r="AB98">
        <f t="shared" si="24"/>
        <v>1</v>
      </c>
      <c r="AC98">
        <f t="shared" si="25"/>
        <v>1</v>
      </c>
      <c r="AD98">
        <f t="shared" si="19"/>
        <v>0</v>
      </c>
      <c r="AE98">
        <f t="shared" si="20"/>
        <v>0</v>
      </c>
      <c r="AF98">
        <f t="shared" si="13"/>
        <v>293548</v>
      </c>
    </row>
    <row r="99" spans="1:32" x14ac:dyDescent="0.35">
      <c r="A99" s="1">
        <v>0</v>
      </c>
      <c r="B99" t="s">
        <v>387</v>
      </c>
      <c r="C99" t="s">
        <v>3</v>
      </c>
      <c r="D99" t="s">
        <v>39</v>
      </c>
      <c r="E99" t="s">
        <v>39</v>
      </c>
      <c r="F99" t="s">
        <v>46</v>
      </c>
      <c r="G99">
        <v>34</v>
      </c>
      <c r="H99" t="s">
        <v>388</v>
      </c>
      <c r="I99">
        <v>0.47663778066635132</v>
      </c>
      <c r="J99">
        <v>0.38507866859436035</v>
      </c>
      <c r="L99">
        <v>0</v>
      </c>
      <c r="O99" t="s">
        <v>46</v>
      </c>
      <c r="P99">
        <v>1</v>
      </c>
      <c r="Q99">
        <v>3500000</v>
      </c>
      <c r="R99">
        <v>3500000</v>
      </c>
      <c r="S99">
        <f t="shared" si="21"/>
        <v>0</v>
      </c>
      <c r="T99">
        <f t="shared" si="22"/>
        <v>0</v>
      </c>
      <c r="U99">
        <f t="shared" si="14"/>
        <v>0</v>
      </c>
      <c r="V99">
        <v>1</v>
      </c>
      <c r="W99">
        <f t="shared" si="15"/>
        <v>0</v>
      </c>
      <c r="X99">
        <f t="shared" si="16"/>
        <v>0</v>
      </c>
      <c r="Y99">
        <f t="shared" si="17"/>
        <v>0</v>
      </c>
      <c r="Z99">
        <f t="shared" si="18"/>
        <v>0</v>
      </c>
      <c r="AA99">
        <f t="shared" si="23"/>
        <v>0</v>
      </c>
      <c r="AB99">
        <f t="shared" si="24"/>
        <v>0</v>
      </c>
      <c r="AC99">
        <f t="shared" si="25"/>
        <v>0</v>
      </c>
      <c r="AD99">
        <f t="shared" si="19"/>
        <v>0</v>
      </c>
      <c r="AE99">
        <f t="shared" si="20"/>
        <v>0</v>
      </c>
      <c r="AF99">
        <f t="shared" si="13"/>
        <v>3500000</v>
      </c>
    </row>
    <row r="100" spans="1:32" x14ac:dyDescent="0.35">
      <c r="A100" s="1">
        <v>0</v>
      </c>
      <c r="B100" t="s">
        <v>289</v>
      </c>
      <c r="C100" t="s">
        <v>10</v>
      </c>
      <c r="D100" t="s">
        <v>39</v>
      </c>
      <c r="E100" t="s">
        <v>39</v>
      </c>
      <c r="F100" t="s">
        <v>40</v>
      </c>
      <c r="G100">
        <v>34</v>
      </c>
      <c r="H100" t="s">
        <v>290</v>
      </c>
      <c r="I100">
        <v>0.80433559417724609</v>
      </c>
      <c r="J100">
        <v>0.38284176588058472</v>
      </c>
      <c r="L100">
        <v>0</v>
      </c>
      <c r="O100" t="s">
        <v>104</v>
      </c>
      <c r="P100">
        <v>1</v>
      </c>
      <c r="Q100">
        <v>5000000</v>
      </c>
      <c r="R100">
        <v>5000000</v>
      </c>
      <c r="S100">
        <f t="shared" si="21"/>
        <v>0</v>
      </c>
      <c r="T100">
        <f t="shared" si="22"/>
        <v>1</v>
      </c>
      <c r="U100">
        <f t="shared" si="14"/>
        <v>0</v>
      </c>
      <c r="V100">
        <v>0</v>
      </c>
      <c r="W100">
        <f t="shared" si="15"/>
        <v>0</v>
      </c>
      <c r="X100">
        <f t="shared" si="16"/>
        <v>0</v>
      </c>
      <c r="Y100">
        <f t="shared" si="17"/>
        <v>0</v>
      </c>
      <c r="Z100">
        <f t="shared" si="18"/>
        <v>0</v>
      </c>
      <c r="AA100">
        <f t="shared" si="23"/>
        <v>0</v>
      </c>
      <c r="AB100">
        <f t="shared" si="24"/>
        <v>0</v>
      </c>
      <c r="AC100">
        <f t="shared" si="25"/>
        <v>0</v>
      </c>
      <c r="AD100">
        <f t="shared" si="19"/>
        <v>0</v>
      </c>
      <c r="AE100">
        <f t="shared" si="20"/>
        <v>0</v>
      </c>
      <c r="AF100">
        <f t="shared" si="13"/>
        <v>5000000</v>
      </c>
    </row>
    <row r="101" spans="1:32" x14ac:dyDescent="0.35">
      <c r="A101" s="1">
        <v>0</v>
      </c>
      <c r="B101" t="s">
        <v>633</v>
      </c>
      <c r="C101" t="s">
        <v>10</v>
      </c>
      <c r="D101" t="s">
        <v>33</v>
      </c>
      <c r="E101" t="s">
        <v>33</v>
      </c>
      <c r="F101" t="s">
        <v>40</v>
      </c>
      <c r="G101">
        <v>38</v>
      </c>
      <c r="H101" t="s">
        <v>634</v>
      </c>
      <c r="I101">
        <v>-0.11162987351417542</v>
      </c>
      <c r="J101">
        <v>0.37820380926132202</v>
      </c>
      <c r="L101">
        <v>0</v>
      </c>
      <c r="O101" t="s">
        <v>70</v>
      </c>
      <c r="P101">
        <v>1</v>
      </c>
      <c r="Q101">
        <v>1572581</v>
      </c>
      <c r="R101">
        <v>1572581</v>
      </c>
      <c r="S101">
        <f t="shared" si="21"/>
        <v>0</v>
      </c>
      <c r="T101">
        <f t="shared" si="22"/>
        <v>1</v>
      </c>
      <c r="U101">
        <f t="shared" si="14"/>
        <v>0</v>
      </c>
      <c r="V101">
        <v>0</v>
      </c>
      <c r="W101">
        <f t="shared" si="15"/>
        <v>0</v>
      </c>
      <c r="X101">
        <f t="shared" si="16"/>
        <v>0</v>
      </c>
      <c r="Y101">
        <f t="shared" si="17"/>
        <v>0</v>
      </c>
      <c r="Z101">
        <f t="shared" si="18"/>
        <v>0</v>
      </c>
      <c r="AA101">
        <f t="shared" si="23"/>
        <v>0</v>
      </c>
      <c r="AB101">
        <f t="shared" si="24"/>
        <v>0</v>
      </c>
      <c r="AC101">
        <f t="shared" si="25"/>
        <v>0</v>
      </c>
      <c r="AD101">
        <f t="shared" si="19"/>
        <v>0</v>
      </c>
      <c r="AE101">
        <f t="shared" si="20"/>
        <v>0</v>
      </c>
      <c r="AF101">
        <f t="shared" si="13"/>
        <v>1572581</v>
      </c>
    </row>
    <row r="102" spans="1:32" x14ac:dyDescent="0.35">
      <c r="A102" s="1">
        <v>0</v>
      </c>
      <c r="B102" t="s">
        <v>380</v>
      </c>
      <c r="C102" t="s">
        <v>381</v>
      </c>
      <c r="D102" t="s">
        <v>39</v>
      </c>
      <c r="E102" t="s">
        <v>39</v>
      </c>
      <c r="F102" t="s">
        <v>81</v>
      </c>
      <c r="G102">
        <v>30</v>
      </c>
      <c r="H102" t="s">
        <v>382</v>
      </c>
      <c r="I102">
        <v>0.48683470487594604</v>
      </c>
      <c r="J102">
        <v>8.0123461782932281E-2</v>
      </c>
      <c r="L102">
        <v>0</v>
      </c>
      <c r="O102" t="s">
        <v>58</v>
      </c>
      <c r="P102">
        <v>1</v>
      </c>
      <c r="Q102">
        <v>1500000</v>
      </c>
      <c r="R102">
        <v>1500000</v>
      </c>
      <c r="S102">
        <f t="shared" si="21"/>
        <v>0</v>
      </c>
      <c r="T102">
        <f t="shared" si="22"/>
        <v>0</v>
      </c>
      <c r="U102">
        <f t="shared" si="14"/>
        <v>0</v>
      </c>
      <c r="V102">
        <v>0</v>
      </c>
      <c r="W102">
        <f t="shared" si="15"/>
        <v>0</v>
      </c>
      <c r="X102">
        <f t="shared" si="16"/>
        <v>1</v>
      </c>
      <c r="Y102">
        <f t="shared" si="17"/>
        <v>1</v>
      </c>
      <c r="Z102">
        <f t="shared" si="18"/>
        <v>1</v>
      </c>
      <c r="AA102">
        <f t="shared" si="23"/>
        <v>1</v>
      </c>
      <c r="AB102">
        <f t="shared" si="24"/>
        <v>1</v>
      </c>
      <c r="AC102">
        <f t="shared" si="25"/>
        <v>1</v>
      </c>
      <c r="AD102">
        <f t="shared" si="19"/>
        <v>1</v>
      </c>
      <c r="AE102">
        <f t="shared" si="20"/>
        <v>0</v>
      </c>
      <c r="AF102">
        <f t="shared" si="13"/>
        <v>1500000</v>
      </c>
    </row>
    <row r="103" spans="1:32" x14ac:dyDescent="0.35">
      <c r="A103" s="1">
        <v>0</v>
      </c>
      <c r="B103" t="s">
        <v>340</v>
      </c>
      <c r="C103" t="s">
        <v>65</v>
      </c>
      <c r="D103" t="s">
        <v>33</v>
      </c>
      <c r="E103" t="s">
        <v>33</v>
      </c>
      <c r="F103" t="s">
        <v>34</v>
      </c>
      <c r="G103">
        <v>29</v>
      </c>
      <c r="H103" t="s">
        <v>341</v>
      </c>
      <c r="I103">
        <v>0.60074925422668457</v>
      </c>
      <c r="J103">
        <v>0.3627261221408844</v>
      </c>
      <c r="K103">
        <v>2</v>
      </c>
      <c r="L103">
        <v>16000000</v>
      </c>
      <c r="M103">
        <v>8000000</v>
      </c>
      <c r="O103" t="s">
        <v>48</v>
      </c>
      <c r="P103">
        <v>1</v>
      </c>
      <c r="Q103">
        <v>1500000</v>
      </c>
      <c r="R103">
        <v>1500000</v>
      </c>
      <c r="S103">
        <f t="shared" si="21"/>
        <v>0</v>
      </c>
      <c r="T103">
        <f t="shared" si="22"/>
        <v>0</v>
      </c>
      <c r="U103">
        <f t="shared" si="14"/>
        <v>0</v>
      </c>
      <c r="V103">
        <v>0</v>
      </c>
      <c r="W103">
        <f t="shared" si="15"/>
        <v>0</v>
      </c>
      <c r="X103">
        <f t="shared" si="16"/>
        <v>0</v>
      </c>
      <c r="Y103">
        <f t="shared" si="17"/>
        <v>0</v>
      </c>
      <c r="Z103">
        <f t="shared" si="18"/>
        <v>0</v>
      </c>
      <c r="AA103">
        <f t="shared" si="23"/>
        <v>1</v>
      </c>
      <c r="AB103">
        <f t="shared" si="24"/>
        <v>0</v>
      </c>
      <c r="AC103">
        <f t="shared" si="25"/>
        <v>1</v>
      </c>
      <c r="AD103">
        <f t="shared" si="19"/>
        <v>0</v>
      </c>
      <c r="AE103">
        <f t="shared" si="20"/>
        <v>0</v>
      </c>
      <c r="AF103">
        <f t="shared" si="13"/>
        <v>8000000</v>
      </c>
    </row>
    <row r="104" spans="1:32" x14ac:dyDescent="0.35">
      <c r="A104" s="1">
        <v>0</v>
      </c>
      <c r="B104" t="s">
        <v>516</v>
      </c>
      <c r="C104" t="s">
        <v>9</v>
      </c>
      <c r="D104" t="s">
        <v>39</v>
      </c>
      <c r="E104" t="s">
        <v>39</v>
      </c>
      <c r="F104" t="s">
        <v>34</v>
      </c>
      <c r="G104">
        <v>30</v>
      </c>
      <c r="H104" t="s">
        <v>517</v>
      </c>
      <c r="I104">
        <v>0.14712072908878326</v>
      </c>
      <c r="J104">
        <v>0.35956120491027832</v>
      </c>
      <c r="K104">
        <v>1</v>
      </c>
      <c r="L104">
        <v>3000000</v>
      </c>
      <c r="M104">
        <v>3000000</v>
      </c>
      <c r="O104" t="s">
        <v>34</v>
      </c>
      <c r="P104">
        <v>1</v>
      </c>
      <c r="Q104">
        <v>5000000</v>
      </c>
      <c r="R104">
        <v>5000000</v>
      </c>
      <c r="S104">
        <f t="shared" si="21"/>
        <v>0</v>
      </c>
      <c r="T104">
        <f t="shared" si="22"/>
        <v>0</v>
      </c>
      <c r="U104">
        <f t="shared" si="14"/>
        <v>1</v>
      </c>
      <c r="V104">
        <v>0</v>
      </c>
      <c r="W104">
        <f t="shared" si="15"/>
        <v>0</v>
      </c>
      <c r="X104">
        <f t="shared" si="16"/>
        <v>0</v>
      </c>
      <c r="Y104">
        <f t="shared" si="17"/>
        <v>0</v>
      </c>
      <c r="Z104">
        <f t="shared" si="18"/>
        <v>0</v>
      </c>
      <c r="AA104">
        <f t="shared" si="23"/>
        <v>0</v>
      </c>
      <c r="AB104">
        <f t="shared" si="24"/>
        <v>0</v>
      </c>
      <c r="AC104">
        <f t="shared" si="25"/>
        <v>0</v>
      </c>
      <c r="AD104">
        <f t="shared" si="19"/>
        <v>0</v>
      </c>
      <c r="AE104">
        <f t="shared" si="20"/>
        <v>0</v>
      </c>
      <c r="AF104">
        <f t="shared" si="13"/>
        <v>3000000</v>
      </c>
    </row>
    <row r="105" spans="1:32" x14ac:dyDescent="0.35">
      <c r="A105" s="1">
        <v>0</v>
      </c>
      <c r="B105" t="s">
        <v>266</v>
      </c>
      <c r="C105" t="s">
        <v>10</v>
      </c>
      <c r="D105" t="s">
        <v>39</v>
      </c>
      <c r="E105" t="s">
        <v>39</v>
      </c>
      <c r="F105" t="s">
        <v>40</v>
      </c>
      <c r="G105">
        <v>32</v>
      </c>
      <c r="H105" t="s">
        <v>267</v>
      </c>
      <c r="I105">
        <v>0.89216291904449463</v>
      </c>
      <c r="J105">
        <v>0.35128909349441528</v>
      </c>
      <c r="L105">
        <v>0</v>
      </c>
      <c r="O105" t="s">
        <v>134</v>
      </c>
      <c r="P105">
        <v>1</v>
      </c>
      <c r="Q105">
        <v>4000000</v>
      </c>
      <c r="R105">
        <v>4000000</v>
      </c>
      <c r="S105">
        <f t="shared" si="21"/>
        <v>0</v>
      </c>
      <c r="T105">
        <f t="shared" si="22"/>
        <v>1</v>
      </c>
      <c r="U105">
        <f t="shared" si="14"/>
        <v>0</v>
      </c>
      <c r="V105">
        <v>0</v>
      </c>
      <c r="W105">
        <f t="shared" si="15"/>
        <v>0</v>
      </c>
      <c r="X105">
        <f t="shared" si="16"/>
        <v>0</v>
      </c>
      <c r="Y105">
        <f t="shared" si="17"/>
        <v>0</v>
      </c>
      <c r="Z105">
        <f t="shared" si="18"/>
        <v>0</v>
      </c>
      <c r="AA105">
        <f t="shared" si="23"/>
        <v>0</v>
      </c>
      <c r="AB105">
        <f t="shared" si="24"/>
        <v>0</v>
      </c>
      <c r="AC105">
        <f t="shared" si="25"/>
        <v>0</v>
      </c>
      <c r="AD105">
        <f t="shared" si="19"/>
        <v>0</v>
      </c>
      <c r="AE105">
        <f t="shared" si="20"/>
        <v>0</v>
      </c>
      <c r="AF105">
        <f t="shared" si="13"/>
        <v>4000000</v>
      </c>
    </row>
    <row r="106" spans="1:32" x14ac:dyDescent="0.35">
      <c r="A106" s="1">
        <v>0</v>
      </c>
      <c r="B106" t="s">
        <v>173</v>
      </c>
      <c r="C106" t="s">
        <v>116</v>
      </c>
      <c r="D106" t="s">
        <v>39</v>
      </c>
      <c r="E106" t="s">
        <v>39</v>
      </c>
      <c r="F106" t="s">
        <v>58</v>
      </c>
      <c r="G106">
        <v>33</v>
      </c>
      <c r="H106" t="s">
        <v>174</v>
      </c>
      <c r="I106">
        <v>1.5948176383972168</v>
      </c>
      <c r="J106">
        <v>0.34064528346061707</v>
      </c>
      <c r="L106">
        <v>0</v>
      </c>
      <c r="O106" t="s">
        <v>58</v>
      </c>
      <c r="P106">
        <v>1</v>
      </c>
      <c r="Q106">
        <v>5000000</v>
      </c>
      <c r="R106">
        <v>5000000</v>
      </c>
      <c r="S106">
        <f t="shared" si="21"/>
        <v>0</v>
      </c>
      <c r="T106">
        <f t="shared" si="22"/>
        <v>0</v>
      </c>
      <c r="U106">
        <f t="shared" si="14"/>
        <v>0</v>
      </c>
      <c r="V106">
        <v>0</v>
      </c>
      <c r="W106">
        <f t="shared" si="15"/>
        <v>0</v>
      </c>
      <c r="X106">
        <f t="shared" si="16"/>
        <v>0</v>
      </c>
      <c r="Y106">
        <f t="shared" si="17"/>
        <v>0</v>
      </c>
      <c r="Z106">
        <f t="shared" si="18"/>
        <v>0</v>
      </c>
      <c r="AA106">
        <f t="shared" si="23"/>
        <v>1</v>
      </c>
      <c r="AB106">
        <f t="shared" si="24"/>
        <v>1</v>
      </c>
      <c r="AC106">
        <f t="shared" si="25"/>
        <v>1</v>
      </c>
      <c r="AD106">
        <f t="shared" si="19"/>
        <v>0</v>
      </c>
      <c r="AE106">
        <f t="shared" si="20"/>
        <v>0</v>
      </c>
      <c r="AF106">
        <f t="shared" si="13"/>
        <v>5000000</v>
      </c>
    </row>
    <row r="107" spans="1:32" x14ac:dyDescent="0.35">
      <c r="A107" s="1">
        <v>0</v>
      </c>
      <c r="B107" t="s">
        <v>502</v>
      </c>
      <c r="C107" t="s">
        <v>9</v>
      </c>
      <c r="D107" t="s">
        <v>39</v>
      </c>
      <c r="E107" t="s">
        <v>39</v>
      </c>
      <c r="F107" t="s">
        <v>56</v>
      </c>
      <c r="G107">
        <v>37</v>
      </c>
      <c r="H107" t="s">
        <v>503</v>
      </c>
      <c r="I107">
        <v>0.17800724506378174</v>
      </c>
      <c r="J107">
        <v>0.31330904364585876</v>
      </c>
      <c r="K107">
        <v>1</v>
      </c>
      <c r="L107">
        <v>6000000</v>
      </c>
      <c r="M107">
        <v>6000000</v>
      </c>
      <c r="O107" t="s">
        <v>48</v>
      </c>
      <c r="P107">
        <v>1</v>
      </c>
      <c r="Q107">
        <v>44444</v>
      </c>
      <c r="R107">
        <v>44444</v>
      </c>
      <c r="S107">
        <f t="shared" si="21"/>
        <v>0</v>
      </c>
      <c r="T107">
        <f t="shared" si="22"/>
        <v>0</v>
      </c>
      <c r="U107">
        <f t="shared" si="14"/>
        <v>1</v>
      </c>
      <c r="V107">
        <v>0</v>
      </c>
      <c r="W107">
        <f t="shared" si="15"/>
        <v>0</v>
      </c>
      <c r="X107">
        <f t="shared" si="16"/>
        <v>0</v>
      </c>
      <c r="Y107">
        <f t="shared" si="17"/>
        <v>0</v>
      </c>
      <c r="Z107">
        <f t="shared" si="18"/>
        <v>0</v>
      </c>
      <c r="AA107">
        <f t="shared" si="23"/>
        <v>0</v>
      </c>
      <c r="AB107">
        <f t="shared" si="24"/>
        <v>0</v>
      </c>
      <c r="AC107">
        <f t="shared" si="25"/>
        <v>0</v>
      </c>
      <c r="AD107">
        <f t="shared" si="19"/>
        <v>0</v>
      </c>
      <c r="AE107">
        <f t="shared" si="20"/>
        <v>0</v>
      </c>
      <c r="AF107">
        <f t="shared" si="13"/>
        <v>6000000</v>
      </c>
    </row>
    <row r="108" spans="1:32" x14ac:dyDescent="0.35">
      <c r="A108" s="1">
        <v>0</v>
      </c>
      <c r="B108" t="s">
        <v>502</v>
      </c>
      <c r="C108" t="s">
        <v>9</v>
      </c>
      <c r="D108" t="s">
        <v>39</v>
      </c>
      <c r="E108" t="s">
        <v>39</v>
      </c>
      <c r="F108" t="s">
        <v>56</v>
      </c>
      <c r="G108">
        <v>37</v>
      </c>
      <c r="H108" t="s">
        <v>503</v>
      </c>
      <c r="I108">
        <v>0.17800724506378174</v>
      </c>
      <c r="J108">
        <v>0.31330904364585876</v>
      </c>
      <c r="K108">
        <v>1</v>
      </c>
      <c r="L108">
        <v>6000000</v>
      </c>
      <c r="M108">
        <v>6000000</v>
      </c>
      <c r="O108" t="s">
        <v>51</v>
      </c>
      <c r="P108">
        <v>1</v>
      </c>
      <c r="S108">
        <f t="shared" si="21"/>
        <v>0</v>
      </c>
      <c r="T108">
        <f t="shared" si="22"/>
        <v>0</v>
      </c>
      <c r="U108">
        <f t="shared" si="14"/>
        <v>1</v>
      </c>
      <c r="V108">
        <v>0</v>
      </c>
      <c r="W108">
        <f t="shared" si="15"/>
        <v>0</v>
      </c>
      <c r="X108">
        <f t="shared" si="16"/>
        <v>0</v>
      </c>
      <c r="Y108">
        <f t="shared" si="17"/>
        <v>0</v>
      </c>
      <c r="Z108">
        <f t="shared" si="18"/>
        <v>0</v>
      </c>
      <c r="AA108">
        <f t="shared" si="23"/>
        <v>0</v>
      </c>
      <c r="AB108">
        <f t="shared" si="24"/>
        <v>0</v>
      </c>
      <c r="AC108">
        <f t="shared" si="25"/>
        <v>0</v>
      </c>
      <c r="AD108">
        <f t="shared" si="19"/>
        <v>0</v>
      </c>
      <c r="AE108">
        <f t="shared" si="20"/>
        <v>0</v>
      </c>
      <c r="AF108">
        <f t="shared" si="13"/>
        <v>6000000</v>
      </c>
    </row>
    <row r="109" spans="1:32" x14ac:dyDescent="0.35">
      <c r="A109" s="1">
        <v>0</v>
      </c>
      <c r="B109" t="s">
        <v>225</v>
      </c>
      <c r="C109" t="s">
        <v>9</v>
      </c>
      <c r="D109" t="s">
        <v>39</v>
      </c>
      <c r="E109" t="s">
        <v>39</v>
      </c>
      <c r="F109" t="s">
        <v>134</v>
      </c>
      <c r="G109">
        <v>32</v>
      </c>
      <c r="H109" t="s">
        <v>226</v>
      </c>
      <c r="I109">
        <v>1.1321791410446167</v>
      </c>
      <c r="J109">
        <v>0.31182423233985901</v>
      </c>
      <c r="K109">
        <v>2</v>
      </c>
      <c r="L109">
        <v>18000000</v>
      </c>
      <c r="M109">
        <v>9000000</v>
      </c>
      <c r="O109" t="s">
        <v>81</v>
      </c>
      <c r="P109">
        <v>2</v>
      </c>
      <c r="Q109">
        <v>22200000</v>
      </c>
      <c r="R109">
        <v>11100000</v>
      </c>
      <c r="S109">
        <f t="shared" si="21"/>
        <v>0</v>
      </c>
      <c r="T109">
        <f t="shared" si="22"/>
        <v>0</v>
      </c>
      <c r="U109">
        <f t="shared" si="14"/>
        <v>1</v>
      </c>
      <c r="V109">
        <v>0</v>
      </c>
      <c r="W109">
        <f t="shared" si="15"/>
        <v>0</v>
      </c>
      <c r="X109">
        <f t="shared" si="16"/>
        <v>0</v>
      </c>
      <c r="Y109">
        <f t="shared" si="17"/>
        <v>0</v>
      </c>
      <c r="Z109">
        <f t="shared" si="18"/>
        <v>0</v>
      </c>
      <c r="AA109">
        <f t="shared" si="23"/>
        <v>0</v>
      </c>
      <c r="AB109">
        <f t="shared" si="24"/>
        <v>0</v>
      </c>
      <c r="AC109">
        <f t="shared" si="25"/>
        <v>0</v>
      </c>
      <c r="AD109">
        <f t="shared" si="19"/>
        <v>0</v>
      </c>
      <c r="AE109">
        <f t="shared" si="20"/>
        <v>0</v>
      </c>
      <c r="AF109">
        <f t="shared" si="13"/>
        <v>9000000</v>
      </c>
    </row>
    <row r="110" spans="1:32" x14ac:dyDescent="0.35">
      <c r="A110" s="1">
        <v>0</v>
      </c>
      <c r="B110" t="s">
        <v>306</v>
      </c>
      <c r="C110" t="s">
        <v>9</v>
      </c>
      <c r="D110" t="s">
        <v>39</v>
      </c>
      <c r="E110" t="s">
        <v>39</v>
      </c>
      <c r="F110" t="s">
        <v>104</v>
      </c>
      <c r="G110">
        <v>34</v>
      </c>
      <c r="H110" t="s">
        <v>307</v>
      </c>
      <c r="I110">
        <v>0.68513780832290649</v>
      </c>
      <c r="J110">
        <v>0.3056509792804718</v>
      </c>
      <c r="L110">
        <v>0</v>
      </c>
      <c r="O110" t="s">
        <v>97</v>
      </c>
      <c r="P110">
        <v>1</v>
      </c>
      <c r="Q110">
        <v>1250000</v>
      </c>
      <c r="R110">
        <v>1250000</v>
      </c>
      <c r="S110">
        <f t="shared" si="21"/>
        <v>0</v>
      </c>
      <c r="T110">
        <f t="shared" si="22"/>
        <v>0</v>
      </c>
      <c r="U110">
        <f t="shared" si="14"/>
        <v>1</v>
      </c>
      <c r="V110">
        <v>0</v>
      </c>
      <c r="W110">
        <f t="shared" si="15"/>
        <v>0</v>
      </c>
      <c r="X110">
        <f t="shared" si="16"/>
        <v>0</v>
      </c>
      <c r="Y110">
        <f t="shared" si="17"/>
        <v>0</v>
      </c>
      <c r="Z110">
        <f t="shared" si="18"/>
        <v>0</v>
      </c>
      <c r="AA110">
        <f t="shared" si="23"/>
        <v>0</v>
      </c>
      <c r="AB110">
        <f t="shared" si="24"/>
        <v>0</v>
      </c>
      <c r="AC110">
        <f t="shared" si="25"/>
        <v>0</v>
      </c>
      <c r="AD110">
        <f t="shared" si="19"/>
        <v>0</v>
      </c>
      <c r="AE110">
        <f t="shared" si="20"/>
        <v>0</v>
      </c>
      <c r="AF110">
        <f t="shared" si="13"/>
        <v>1250000</v>
      </c>
    </row>
    <row r="111" spans="1:32" x14ac:dyDescent="0.35">
      <c r="A111" s="1">
        <v>0</v>
      </c>
      <c r="B111" t="s">
        <v>782</v>
      </c>
      <c r="C111" t="s">
        <v>783</v>
      </c>
      <c r="D111" t="s">
        <v>39</v>
      </c>
      <c r="E111" t="s">
        <v>39</v>
      </c>
      <c r="F111" t="s">
        <v>56</v>
      </c>
      <c r="G111">
        <v>28</v>
      </c>
      <c r="H111" t="s">
        <v>61</v>
      </c>
      <c r="I111">
        <v>-0.92764467000961304</v>
      </c>
      <c r="J111">
        <v>0.30552631616592413</v>
      </c>
      <c r="K111">
        <v>1</v>
      </c>
      <c r="L111">
        <v>6000000</v>
      </c>
      <c r="M111">
        <v>6000000</v>
      </c>
      <c r="O111" t="s">
        <v>110</v>
      </c>
      <c r="P111">
        <v>1</v>
      </c>
      <c r="Q111">
        <v>0</v>
      </c>
      <c r="S111">
        <f t="shared" si="21"/>
        <v>0</v>
      </c>
      <c r="T111">
        <f t="shared" si="22"/>
        <v>0</v>
      </c>
      <c r="U111">
        <f t="shared" si="14"/>
        <v>0</v>
      </c>
      <c r="V111">
        <v>0</v>
      </c>
      <c r="W111">
        <f t="shared" si="15"/>
        <v>0</v>
      </c>
      <c r="X111">
        <f t="shared" si="16"/>
        <v>0</v>
      </c>
      <c r="Y111">
        <f t="shared" si="17"/>
        <v>0</v>
      </c>
      <c r="Z111">
        <f t="shared" si="18"/>
        <v>0</v>
      </c>
      <c r="AA111">
        <f t="shared" si="23"/>
        <v>1</v>
      </c>
      <c r="AB111">
        <f t="shared" si="24"/>
        <v>0</v>
      </c>
      <c r="AC111">
        <f t="shared" si="25"/>
        <v>1</v>
      </c>
      <c r="AD111">
        <f t="shared" si="19"/>
        <v>0</v>
      </c>
      <c r="AE111">
        <f t="shared" si="20"/>
        <v>1</v>
      </c>
      <c r="AF111">
        <f t="shared" si="13"/>
        <v>6000000</v>
      </c>
    </row>
    <row r="112" spans="1:32" x14ac:dyDescent="0.35">
      <c r="A112" s="1">
        <v>0</v>
      </c>
      <c r="B112" t="s">
        <v>585</v>
      </c>
      <c r="C112" t="s">
        <v>9</v>
      </c>
      <c r="D112" t="s">
        <v>39</v>
      </c>
      <c r="E112" t="s">
        <v>39</v>
      </c>
      <c r="F112" t="s">
        <v>66</v>
      </c>
      <c r="G112">
        <v>37</v>
      </c>
      <c r="H112" t="s">
        <v>586</v>
      </c>
      <c r="I112">
        <v>-1.9738445058465004E-2</v>
      </c>
      <c r="J112">
        <v>0.30102184414863586</v>
      </c>
      <c r="K112">
        <v>1</v>
      </c>
      <c r="L112">
        <v>5000000</v>
      </c>
      <c r="M112">
        <v>5000000</v>
      </c>
      <c r="S112">
        <f t="shared" si="21"/>
        <v>0</v>
      </c>
      <c r="T112">
        <f t="shared" si="22"/>
        <v>0</v>
      </c>
      <c r="U112">
        <f t="shared" si="14"/>
        <v>1</v>
      </c>
      <c r="V112">
        <v>0</v>
      </c>
      <c r="W112">
        <f t="shared" si="15"/>
        <v>0</v>
      </c>
      <c r="X112">
        <f t="shared" si="16"/>
        <v>0</v>
      </c>
      <c r="Y112">
        <f t="shared" si="17"/>
        <v>0</v>
      </c>
      <c r="Z112">
        <f t="shared" si="18"/>
        <v>0</v>
      </c>
      <c r="AA112">
        <f t="shared" si="23"/>
        <v>0</v>
      </c>
      <c r="AB112">
        <f t="shared" si="24"/>
        <v>0</v>
      </c>
      <c r="AC112">
        <f t="shared" si="25"/>
        <v>0</v>
      </c>
      <c r="AD112">
        <f t="shared" si="19"/>
        <v>0</v>
      </c>
      <c r="AE112">
        <f t="shared" si="20"/>
        <v>0</v>
      </c>
      <c r="AF112">
        <f t="shared" si="13"/>
        <v>5000000</v>
      </c>
    </row>
    <row r="113" spans="1:32" x14ac:dyDescent="0.35">
      <c r="A113" s="1">
        <v>0</v>
      </c>
      <c r="B113" t="s">
        <v>353</v>
      </c>
      <c r="C113" t="s">
        <v>9</v>
      </c>
      <c r="D113" t="s">
        <v>33</v>
      </c>
      <c r="E113" t="s">
        <v>33</v>
      </c>
      <c r="F113" t="s">
        <v>56</v>
      </c>
      <c r="G113">
        <v>35</v>
      </c>
      <c r="H113" t="s">
        <v>354</v>
      </c>
      <c r="I113">
        <v>0.53618401288986206</v>
      </c>
      <c r="J113">
        <v>0.29656922817230225</v>
      </c>
      <c r="L113">
        <v>0</v>
      </c>
      <c r="O113" t="s">
        <v>100</v>
      </c>
      <c r="P113">
        <v>1</v>
      </c>
      <c r="Q113">
        <v>3000000</v>
      </c>
      <c r="R113">
        <v>3000000</v>
      </c>
      <c r="S113">
        <f t="shared" si="21"/>
        <v>0</v>
      </c>
      <c r="T113">
        <f t="shared" si="22"/>
        <v>0</v>
      </c>
      <c r="U113">
        <f t="shared" si="14"/>
        <v>1</v>
      </c>
      <c r="V113">
        <v>0</v>
      </c>
      <c r="W113">
        <f t="shared" si="15"/>
        <v>0</v>
      </c>
      <c r="X113">
        <f t="shared" si="16"/>
        <v>0</v>
      </c>
      <c r="Y113">
        <f t="shared" si="17"/>
        <v>0</v>
      </c>
      <c r="Z113">
        <f t="shared" si="18"/>
        <v>0</v>
      </c>
      <c r="AA113">
        <f t="shared" si="23"/>
        <v>0</v>
      </c>
      <c r="AB113">
        <f t="shared" si="24"/>
        <v>0</v>
      </c>
      <c r="AC113">
        <f t="shared" si="25"/>
        <v>0</v>
      </c>
      <c r="AD113">
        <f t="shared" si="19"/>
        <v>0</v>
      </c>
      <c r="AE113">
        <f t="shared" si="20"/>
        <v>0</v>
      </c>
      <c r="AF113">
        <f t="shared" si="13"/>
        <v>3000000</v>
      </c>
    </row>
    <row r="114" spans="1:32" x14ac:dyDescent="0.35">
      <c r="A114" s="1">
        <v>0</v>
      </c>
      <c r="B114" t="s">
        <v>707</v>
      </c>
      <c r="C114" t="s">
        <v>9</v>
      </c>
      <c r="D114" t="s">
        <v>39</v>
      </c>
      <c r="E114" t="s">
        <v>39</v>
      </c>
      <c r="F114" t="s">
        <v>86</v>
      </c>
      <c r="G114">
        <v>32</v>
      </c>
      <c r="H114" t="s">
        <v>708</v>
      </c>
      <c r="I114">
        <v>-0.29238122701644897</v>
      </c>
      <c r="J114">
        <v>0.2919904887676239</v>
      </c>
      <c r="L114">
        <v>0</v>
      </c>
      <c r="O114" t="s">
        <v>134</v>
      </c>
      <c r="P114">
        <v>1</v>
      </c>
      <c r="Q114">
        <v>8500000</v>
      </c>
      <c r="R114">
        <v>8500000</v>
      </c>
      <c r="S114">
        <f t="shared" si="21"/>
        <v>0</v>
      </c>
      <c r="T114">
        <f t="shared" si="22"/>
        <v>0</v>
      </c>
      <c r="U114">
        <f t="shared" si="14"/>
        <v>1</v>
      </c>
      <c r="V114">
        <v>0</v>
      </c>
      <c r="W114">
        <f t="shared" si="15"/>
        <v>0</v>
      </c>
      <c r="X114">
        <f t="shared" si="16"/>
        <v>0</v>
      </c>
      <c r="Y114">
        <f t="shared" si="17"/>
        <v>0</v>
      </c>
      <c r="Z114">
        <f t="shared" si="18"/>
        <v>0</v>
      </c>
      <c r="AA114">
        <f t="shared" si="23"/>
        <v>0</v>
      </c>
      <c r="AB114">
        <f t="shared" si="24"/>
        <v>0</v>
      </c>
      <c r="AC114">
        <f t="shared" si="25"/>
        <v>0</v>
      </c>
      <c r="AD114">
        <f t="shared" si="19"/>
        <v>0</v>
      </c>
      <c r="AE114">
        <f t="shared" si="20"/>
        <v>0</v>
      </c>
      <c r="AF114">
        <f t="shared" si="13"/>
        <v>8500000</v>
      </c>
    </row>
    <row r="115" spans="1:32" x14ac:dyDescent="0.35">
      <c r="A115" s="1">
        <v>0</v>
      </c>
      <c r="B115" t="s">
        <v>588</v>
      </c>
      <c r="C115" t="s">
        <v>9</v>
      </c>
      <c r="D115" t="s">
        <v>39</v>
      </c>
      <c r="E115" t="s">
        <v>39</v>
      </c>
      <c r="F115" t="s">
        <v>141</v>
      </c>
      <c r="G115">
        <v>33</v>
      </c>
      <c r="H115" t="s">
        <v>589</v>
      </c>
      <c r="I115">
        <v>-2.1173315122723579E-2</v>
      </c>
      <c r="J115">
        <v>0.28041326999664307</v>
      </c>
      <c r="L115">
        <v>0</v>
      </c>
      <c r="O115" t="s">
        <v>141</v>
      </c>
      <c r="P115">
        <v>1</v>
      </c>
      <c r="Q115">
        <v>6000000</v>
      </c>
      <c r="R115">
        <v>5589304</v>
      </c>
      <c r="S115">
        <f t="shared" si="21"/>
        <v>0</v>
      </c>
      <c r="T115">
        <f t="shared" si="22"/>
        <v>0</v>
      </c>
      <c r="U115">
        <f t="shared" si="14"/>
        <v>1</v>
      </c>
      <c r="V115">
        <v>0</v>
      </c>
      <c r="W115">
        <f t="shared" si="15"/>
        <v>0</v>
      </c>
      <c r="X115">
        <f t="shared" si="16"/>
        <v>0</v>
      </c>
      <c r="Y115">
        <f t="shared" si="17"/>
        <v>0</v>
      </c>
      <c r="Z115">
        <f t="shared" si="18"/>
        <v>0</v>
      </c>
      <c r="AA115">
        <f t="shared" si="23"/>
        <v>0</v>
      </c>
      <c r="AB115">
        <f t="shared" si="24"/>
        <v>0</v>
      </c>
      <c r="AC115">
        <f t="shared" si="25"/>
        <v>0</v>
      </c>
      <c r="AD115">
        <f t="shared" si="19"/>
        <v>0</v>
      </c>
      <c r="AE115">
        <f t="shared" si="20"/>
        <v>0</v>
      </c>
      <c r="AF115">
        <f t="shared" si="13"/>
        <v>5589304</v>
      </c>
    </row>
    <row r="116" spans="1:32" x14ac:dyDescent="0.35">
      <c r="A116" s="1">
        <v>0</v>
      </c>
      <c r="B116" t="s">
        <v>530</v>
      </c>
      <c r="C116" t="s">
        <v>9</v>
      </c>
      <c r="D116" t="s">
        <v>33</v>
      </c>
      <c r="E116" t="s">
        <v>39</v>
      </c>
      <c r="F116" t="s">
        <v>48</v>
      </c>
      <c r="G116">
        <v>35</v>
      </c>
      <c r="H116" t="s">
        <v>531</v>
      </c>
      <c r="I116">
        <v>0.12382979691028595</v>
      </c>
      <c r="J116">
        <v>0.27049711346626282</v>
      </c>
      <c r="L116">
        <v>0</v>
      </c>
      <c r="O116" t="s">
        <v>78</v>
      </c>
      <c r="P116">
        <v>1</v>
      </c>
      <c r="Q116">
        <v>2750000</v>
      </c>
      <c r="R116">
        <v>2750000</v>
      </c>
      <c r="S116">
        <f t="shared" si="21"/>
        <v>0</v>
      </c>
      <c r="T116">
        <f t="shared" si="22"/>
        <v>0</v>
      </c>
      <c r="U116">
        <f t="shared" si="14"/>
        <v>1</v>
      </c>
      <c r="V116">
        <v>0</v>
      </c>
      <c r="W116">
        <f t="shared" si="15"/>
        <v>0</v>
      </c>
      <c r="X116">
        <f t="shared" si="16"/>
        <v>0</v>
      </c>
      <c r="Y116">
        <f t="shared" si="17"/>
        <v>0</v>
      </c>
      <c r="Z116">
        <f t="shared" si="18"/>
        <v>0</v>
      </c>
      <c r="AA116">
        <f t="shared" si="23"/>
        <v>0</v>
      </c>
      <c r="AB116">
        <f t="shared" si="24"/>
        <v>0</v>
      </c>
      <c r="AC116">
        <f t="shared" si="25"/>
        <v>0</v>
      </c>
      <c r="AD116">
        <f t="shared" si="19"/>
        <v>0</v>
      </c>
      <c r="AE116">
        <f t="shared" si="20"/>
        <v>0</v>
      </c>
      <c r="AF116">
        <f t="shared" si="13"/>
        <v>2750000</v>
      </c>
    </row>
    <row r="117" spans="1:32" x14ac:dyDescent="0.35">
      <c r="A117" s="1">
        <v>0</v>
      </c>
      <c r="B117" t="s">
        <v>330</v>
      </c>
      <c r="C117" t="s">
        <v>9</v>
      </c>
      <c r="D117" t="s">
        <v>33</v>
      </c>
      <c r="E117" t="s">
        <v>33</v>
      </c>
      <c r="F117" t="s">
        <v>125</v>
      </c>
      <c r="G117">
        <v>31</v>
      </c>
      <c r="H117" t="s">
        <v>331</v>
      </c>
      <c r="I117">
        <v>0.62919342517852783</v>
      </c>
      <c r="J117">
        <v>0.2697654664516449</v>
      </c>
      <c r="L117">
        <v>0</v>
      </c>
      <c r="O117" t="s">
        <v>58</v>
      </c>
      <c r="P117">
        <v>1</v>
      </c>
      <c r="Q117">
        <v>1250000</v>
      </c>
      <c r="R117">
        <v>1250000</v>
      </c>
      <c r="S117">
        <f t="shared" si="21"/>
        <v>0</v>
      </c>
      <c r="T117">
        <f t="shared" si="22"/>
        <v>0</v>
      </c>
      <c r="U117">
        <f t="shared" si="14"/>
        <v>1</v>
      </c>
      <c r="V117">
        <v>0</v>
      </c>
      <c r="W117">
        <f t="shared" si="15"/>
        <v>0</v>
      </c>
      <c r="X117">
        <f t="shared" si="16"/>
        <v>0</v>
      </c>
      <c r="Y117">
        <f t="shared" si="17"/>
        <v>0</v>
      </c>
      <c r="Z117">
        <f t="shared" si="18"/>
        <v>0</v>
      </c>
      <c r="AA117">
        <f t="shared" si="23"/>
        <v>0</v>
      </c>
      <c r="AB117">
        <f t="shared" si="24"/>
        <v>0</v>
      </c>
      <c r="AC117">
        <f t="shared" si="25"/>
        <v>0</v>
      </c>
      <c r="AD117">
        <f t="shared" si="19"/>
        <v>0</v>
      </c>
      <c r="AE117">
        <f t="shared" si="20"/>
        <v>0</v>
      </c>
      <c r="AF117">
        <f t="shared" si="13"/>
        <v>1250000</v>
      </c>
    </row>
    <row r="118" spans="1:32" x14ac:dyDescent="0.35">
      <c r="A118" s="1">
        <v>0</v>
      </c>
      <c r="B118" t="s">
        <v>363</v>
      </c>
      <c r="C118" t="s">
        <v>364</v>
      </c>
      <c r="D118" t="s">
        <v>39</v>
      </c>
      <c r="E118" t="s">
        <v>39</v>
      </c>
      <c r="F118" t="s">
        <v>125</v>
      </c>
      <c r="G118">
        <v>32</v>
      </c>
      <c r="H118" t="s">
        <v>365</v>
      </c>
      <c r="I118">
        <v>0.51880383491516113</v>
      </c>
      <c r="J118">
        <v>0.26601451635360718</v>
      </c>
      <c r="L118">
        <v>0</v>
      </c>
      <c r="O118" t="s">
        <v>46</v>
      </c>
      <c r="P118">
        <v>1</v>
      </c>
      <c r="Q118">
        <v>1000000</v>
      </c>
      <c r="R118">
        <v>1000000</v>
      </c>
      <c r="S118">
        <f t="shared" si="21"/>
        <v>0</v>
      </c>
      <c r="T118">
        <f t="shared" si="22"/>
        <v>0</v>
      </c>
      <c r="U118">
        <f t="shared" si="14"/>
        <v>0</v>
      </c>
      <c r="V118">
        <v>0</v>
      </c>
      <c r="W118">
        <f t="shared" si="15"/>
        <v>1</v>
      </c>
      <c r="X118">
        <f t="shared" si="16"/>
        <v>0</v>
      </c>
      <c r="Y118">
        <f t="shared" si="17"/>
        <v>0</v>
      </c>
      <c r="Z118">
        <f t="shared" si="18"/>
        <v>0</v>
      </c>
      <c r="AA118">
        <f t="shared" si="23"/>
        <v>1</v>
      </c>
      <c r="AB118">
        <f t="shared" si="24"/>
        <v>0</v>
      </c>
      <c r="AC118">
        <f t="shared" si="25"/>
        <v>1</v>
      </c>
      <c r="AD118">
        <f t="shared" si="19"/>
        <v>0</v>
      </c>
      <c r="AE118">
        <f t="shared" si="20"/>
        <v>0</v>
      </c>
      <c r="AF118">
        <f t="shared" si="13"/>
        <v>1000000</v>
      </c>
    </row>
    <row r="119" spans="1:32" x14ac:dyDescent="0.35">
      <c r="A119" s="1">
        <v>0</v>
      </c>
      <c r="B119" t="s">
        <v>257</v>
      </c>
      <c r="C119" t="s">
        <v>9</v>
      </c>
      <c r="D119" t="s">
        <v>33</v>
      </c>
      <c r="E119" t="s">
        <v>33</v>
      </c>
      <c r="F119" t="s">
        <v>40</v>
      </c>
      <c r="G119">
        <v>34</v>
      </c>
      <c r="H119" t="s">
        <v>258</v>
      </c>
      <c r="I119">
        <v>0.89884853363037109</v>
      </c>
      <c r="J119">
        <v>0.25459596514701843</v>
      </c>
      <c r="L119">
        <v>0</v>
      </c>
      <c r="O119" t="s">
        <v>97</v>
      </c>
      <c r="P119">
        <v>1</v>
      </c>
      <c r="Q119">
        <v>2500000</v>
      </c>
      <c r="R119">
        <v>2500000</v>
      </c>
      <c r="S119">
        <f t="shared" si="21"/>
        <v>0</v>
      </c>
      <c r="T119">
        <f t="shared" si="22"/>
        <v>0</v>
      </c>
      <c r="U119">
        <f t="shared" si="14"/>
        <v>1</v>
      </c>
      <c r="V119">
        <v>0</v>
      </c>
      <c r="W119">
        <f t="shared" si="15"/>
        <v>0</v>
      </c>
      <c r="X119">
        <f t="shared" si="16"/>
        <v>0</v>
      </c>
      <c r="Y119">
        <f t="shared" si="17"/>
        <v>0</v>
      </c>
      <c r="Z119">
        <f t="shared" si="18"/>
        <v>0</v>
      </c>
      <c r="AA119">
        <f t="shared" si="23"/>
        <v>0</v>
      </c>
      <c r="AB119">
        <f t="shared" si="24"/>
        <v>0</v>
      </c>
      <c r="AC119">
        <f t="shared" si="25"/>
        <v>0</v>
      </c>
      <c r="AD119">
        <f t="shared" si="19"/>
        <v>0</v>
      </c>
      <c r="AE119">
        <f t="shared" si="20"/>
        <v>0</v>
      </c>
      <c r="AF119">
        <f t="shared" si="13"/>
        <v>2500000</v>
      </c>
    </row>
    <row r="120" spans="1:32" x14ac:dyDescent="0.35">
      <c r="A120" s="1">
        <v>0</v>
      </c>
      <c r="B120" t="s">
        <v>797</v>
      </c>
      <c r="C120" t="s">
        <v>273</v>
      </c>
      <c r="D120" t="s">
        <v>45</v>
      </c>
      <c r="E120" t="s">
        <v>33</v>
      </c>
      <c r="F120" t="s">
        <v>110</v>
      </c>
      <c r="G120">
        <v>26</v>
      </c>
      <c r="H120" t="s">
        <v>798</v>
      </c>
      <c r="I120">
        <v>-1.0943242311477661</v>
      </c>
      <c r="J120">
        <v>0.24424418807029724</v>
      </c>
      <c r="L120">
        <v>0</v>
      </c>
      <c r="O120" t="s">
        <v>56</v>
      </c>
      <c r="P120">
        <v>1</v>
      </c>
      <c r="Q120">
        <v>975000</v>
      </c>
      <c r="R120">
        <v>975000</v>
      </c>
      <c r="S120">
        <f t="shared" si="21"/>
        <v>0</v>
      </c>
      <c r="T120">
        <f t="shared" si="22"/>
        <v>0</v>
      </c>
      <c r="U120">
        <f t="shared" si="14"/>
        <v>0</v>
      </c>
      <c r="V120">
        <v>0</v>
      </c>
      <c r="W120">
        <f t="shared" si="15"/>
        <v>0</v>
      </c>
      <c r="X120">
        <f t="shared" si="16"/>
        <v>0</v>
      </c>
      <c r="Y120">
        <f t="shared" si="17"/>
        <v>0</v>
      </c>
      <c r="Z120">
        <f t="shared" si="18"/>
        <v>0</v>
      </c>
      <c r="AA120">
        <f t="shared" si="23"/>
        <v>1</v>
      </c>
      <c r="AB120">
        <f t="shared" si="24"/>
        <v>1</v>
      </c>
      <c r="AC120">
        <f t="shared" si="25"/>
        <v>1</v>
      </c>
      <c r="AD120">
        <f t="shared" si="19"/>
        <v>0</v>
      </c>
      <c r="AE120">
        <f t="shared" si="20"/>
        <v>0</v>
      </c>
      <c r="AF120">
        <f t="shared" si="13"/>
        <v>975000</v>
      </c>
    </row>
    <row r="121" spans="1:32" x14ac:dyDescent="0.35">
      <c r="A121" s="1">
        <v>0</v>
      </c>
      <c r="B121" t="s">
        <v>459</v>
      </c>
      <c r="C121" t="s">
        <v>334</v>
      </c>
      <c r="D121" t="s">
        <v>39</v>
      </c>
      <c r="E121" t="s">
        <v>39</v>
      </c>
      <c r="F121" t="s">
        <v>34</v>
      </c>
      <c r="G121">
        <v>35</v>
      </c>
      <c r="H121" t="s">
        <v>460</v>
      </c>
      <c r="I121">
        <v>0.26698204874992371</v>
      </c>
      <c r="J121">
        <v>0.24376147985458374</v>
      </c>
      <c r="L121">
        <v>0</v>
      </c>
      <c r="O121" t="s">
        <v>104</v>
      </c>
      <c r="P121">
        <v>1</v>
      </c>
      <c r="Q121">
        <v>2000000</v>
      </c>
      <c r="R121">
        <v>2000000</v>
      </c>
      <c r="S121">
        <f t="shared" si="21"/>
        <v>0</v>
      </c>
      <c r="T121">
        <f t="shared" si="22"/>
        <v>0</v>
      </c>
      <c r="U121">
        <f t="shared" si="14"/>
        <v>0</v>
      </c>
      <c r="V121">
        <v>0</v>
      </c>
      <c r="W121">
        <f t="shared" si="15"/>
        <v>0</v>
      </c>
      <c r="X121">
        <f t="shared" si="16"/>
        <v>1</v>
      </c>
      <c r="Y121">
        <f t="shared" si="17"/>
        <v>1</v>
      </c>
      <c r="Z121">
        <f t="shared" si="18"/>
        <v>1</v>
      </c>
      <c r="AA121">
        <f t="shared" si="23"/>
        <v>1</v>
      </c>
      <c r="AB121">
        <f t="shared" si="24"/>
        <v>1</v>
      </c>
      <c r="AC121">
        <f t="shared" si="25"/>
        <v>1</v>
      </c>
      <c r="AD121">
        <f t="shared" si="19"/>
        <v>1</v>
      </c>
      <c r="AE121">
        <f t="shared" si="20"/>
        <v>0</v>
      </c>
      <c r="AF121">
        <f t="shared" si="13"/>
        <v>2000000</v>
      </c>
    </row>
    <row r="122" spans="1:32" x14ac:dyDescent="0.35">
      <c r="A122" s="1">
        <v>0</v>
      </c>
      <c r="B122" t="s">
        <v>434</v>
      </c>
      <c r="C122" t="s">
        <v>9</v>
      </c>
      <c r="D122" t="s">
        <v>39</v>
      </c>
      <c r="E122" t="s">
        <v>39</v>
      </c>
      <c r="F122" t="s">
        <v>58</v>
      </c>
      <c r="G122">
        <v>35</v>
      </c>
      <c r="H122" t="s">
        <v>435</v>
      </c>
      <c r="I122">
        <v>0.3462543785572052</v>
      </c>
      <c r="J122">
        <v>0.236552894115448</v>
      </c>
      <c r="K122">
        <v>1</v>
      </c>
      <c r="L122">
        <v>6500000</v>
      </c>
      <c r="M122">
        <v>6500000</v>
      </c>
      <c r="O122" t="s">
        <v>102</v>
      </c>
      <c r="P122">
        <v>1</v>
      </c>
      <c r="Q122">
        <v>7000000</v>
      </c>
      <c r="R122">
        <v>7000000</v>
      </c>
      <c r="S122">
        <f t="shared" si="21"/>
        <v>0</v>
      </c>
      <c r="T122">
        <f t="shared" si="22"/>
        <v>0</v>
      </c>
      <c r="U122">
        <f t="shared" si="14"/>
        <v>1</v>
      </c>
      <c r="V122">
        <v>0</v>
      </c>
      <c r="W122">
        <f t="shared" si="15"/>
        <v>0</v>
      </c>
      <c r="X122">
        <f t="shared" si="16"/>
        <v>0</v>
      </c>
      <c r="Y122">
        <f t="shared" si="17"/>
        <v>0</v>
      </c>
      <c r="Z122">
        <f t="shared" si="18"/>
        <v>0</v>
      </c>
      <c r="AA122">
        <f t="shared" si="23"/>
        <v>0</v>
      </c>
      <c r="AB122">
        <f t="shared" si="24"/>
        <v>0</v>
      </c>
      <c r="AC122">
        <f t="shared" si="25"/>
        <v>0</v>
      </c>
      <c r="AD122">
        <f t="shared" si="19"/>
        <v>0</v>
      </c>
      <c r="AE122">
        <f t="shared" si="20"/>
        <v>0</v>
      </c>
      <c r="AF122">
        <f t="shared" si="13"/>
        <v>6500000</v>
      </c>
    </row>
    <row r="123" spans="1:32" x14ac:dyDescent="0.35">
      <c r="A123" s="1">
        <v>0</v>
      </c>
      <c r="B123" t="s">
        <v>627</v>
      </c>
      <c r="C123" t="s">
        <v>9</v>
      </c>
      <c r="D123" t="s">
        <v>39</v>
      </c>
      <c r="E123" t="s">
        <v>39</v>
      </c>
      <c r="F123" t="s">
        <v>48</v>
      </c>
      <c r="G123">
        <v>33</v>
      </c>
      <c r="H123" t="s">
        <v>628</v>
      </c>
      <c r="I123">
        <v>-0.11007146537303925</v>
      </c>
      <c r="J123">
        <v>0.23130252957344055</v>
      </c>
      <c r="L123">
        <v>0</v>
      </c>
      <c r="O123" t="s">
        <v>97</v>
      </c>
      <c r="P123">
        <v>1</v>
      </c>
      <c r="Q123">
        <v>1500000</v>
      </c>
      <c r="R123">
        <v>1500000</v>
      </c>
      <c r="S123">
        <f t="shared" si="21"/>
        <v>0</v>
      </c>
      <c r="T123">
        <f t="shared" si="22"/>
        <v>0</v>
      </c>
      <c r="U123">
        <f t="shared" si="14"/>
        <v>1</v>
      </c>
      <c r="V123">
        <v>0</v>
      </c>
      <c r="W123">
        <f t="shared" si="15"/>
        <v>0</v>
      </c>
      <c r="X123">
        <f t="shared" si="16"/>
        <v>0</v>
      </c>
      <c r="Y123">
        <f t="shared" si="17"/>
        <v>0</v>
      </c>
      <c r="Z123">
        <f t="shared" si="18"/>
        <v>0</v>
      </c>
      <c r="AA123">
        <f t="shared" si="23"/>
        <v>0</v>
      </c>
      <c r="AB123">
        <f t="shared" si="24"/>
        <v>0</v>
      </c>
      <c r="AC123">
        <f t="shared" si="25"/>
        <v>0</v>
      </c>
      <c r="AD123">
        <f t="shared" si="19"/>
        <v>0</v>
      </c>
      <c r="AE123">
        <f t="shared" si="20"/>
        <v>0</v>
      </c>
      <c r="AF123">
        <f t="shared" si="13"/>
        <v>1500000</v>
      </c>
    </row>
    <row r="124" spans="1:32" x14ac:dyDescent="0.35">
      <c r="A124" s="1">
        <v>0</v>
      </c>
      <c r="B124" t="s">
        <v>627</v>
      </c>
      <c r="C124" t="s">
        <v>9</v>
      </c>
      <c r="D124" t="s">
        <v>39</v>
      </c>
      <c r="E124" t="s">
        <v>39</v>
      </c>
      <c r="F124" t="s">
        <v>48</v>
      </c>
      <c r="G124">
        <v>33</v>
      </c>
      <c r="H124" t="s">
        <v>628</v>
      </c>
      <c r="I124">
        <v>-0.11007146537303925</v>
      </c>
      <c r="J124">
        <v>0.23130252957344055</v>
      </c>
      <c r="L124">
        <v>0</v>
      </c>
      <c r="O124" t="s">
        <v>78</v>
      </c>
      <c r="P124">
        <v>1</v>
      </c>
      <c r="Q124">
        <v>265591</v>
      </c>
      <c r="R124">
        <v>265591</v>
      </c>
      <c r="S124">
        <f t="shared" si="21"/>
        <v>0</v>
      </c>
      <c r="T124">
        <f t="shared" si="22"/>
        <v>0</v>
      </c>
      <c r="U124">
        <f t="shared" si="14"/>
        <v>1</v>
      </c>
      <c r="V124">
        <v>0</v>
      </c>
      <c r="W124">
        <f t="shared" si="15"/>
        <v>0</v>
      </c>
      <c r="X124">
        <f t="shared" si="16"/>
        <v>0</v>
      </c>
      <c r="Y124">
        <f t="shared" si="17"/>
        <v>0</v>
      </c>
      <c r="Z124">
        <f t="shared" si="18"/>
        <v>0</v>
      </c>
      <c r="AA124">
        <f t="shared" si="23"/>
        <v>0</v>
      </c>
      <c r="AB124">
        <f t="shared" si="24"/>
        <v>0</v>
      </c>
      <c r="AC124">
        <f t="shared" si="25"/>
        <v>0</v>
      </c>
      <c r="AD124">
        <f t="shared" si="19"/>
        <v>0</v>
      </c>
      <c r="AE124">
        <f t="shared" si="20"/>
        <v>0</v>
      </c>
      <c r="AF124">
        <f t="shared" si="13"/>
        <v>265591</v>
      </c>
    </row>
    <row r="125" spans="1:32" x14ac:dyDescent="0.35">
      <c r="A125" s="1">
        <v>0</v>
      </c>
      <c r="B125" t="s">
        <v>521</v>
      </c>
      <c r="C125" t="s">
        <v>10</v>
      </c>
      <c r="D125" t="s">
        <v>39</v>
      </c>
      <c r="E125" t="s">
        <v>39</v>
      </c>
      <c r="F125" t="s">
        <v>102</v>
      </c>
      <c r="G125">
        <v>38</v>
      </c>
      <c r="H125" t="s">
        <v>522</v>
      </c>
      <c r="I125">
        <v>0.13202005624771118</v>
      </c>
      <c r="J125">
        <v>0.22166724503040314</v>
      </c>
      <c r="L125">
        <v>0</v>
      </c>
      <c r="O125" t="s">
        <v>34</v>
      </c>
      <c r="P125">
        <v>1</v>
      </c>
      <c r="Q125">
        <v>346774</v>
      </c>
      <c r="R125">
        <v>346774</v>
      </c>
      <c r="S125">
        <f t="shared" si="21"/>
        <v>0</v>
      </c>
      <c r="T125">
        <f t="shared" si="22"/>
        <v>1</v>
      </c>
      <c r="U125">
        <f t="shared" si="14"/>
        <v>0</v>
      </c>
      <c r="V125">
        <v>0</v>
      </c>
      <c r="W125">
        <f t="shared" si="15"/>
        <v>0</v>
      </c>
      <c r="X125">
        <f t="shared" si="16"/>
        <v>0</v>
      </c>
      <c r="Y125">
        <f t="shared" si="17"/>
        <v>0</v>
      </c>
      <c r="Z125">
        <f t="shared" si="18"/>
        <v>0</v>
      </c>
      <c r="AA125">
        <f t="shared" si="23"/>
        <v>0</v>
      </c>
      <c r="AB125">
        <f t="shared" si="24"/>
        <v>0</v>
      </c>
      <c r="AC125">
        <f t="shared" si="25"/>
        <v>0</v>
      </c>
      <c r="AD125">
        <f t="shared" si="19"/>
        <v>0</v>
      </c>
      <c r="AE125">
        <f t="shared" si="20"/>
        <v>0</v>
      </c>
      <c r="AF125">
        <f t="shared" si="13"/>
        <v>346774</v>
      </c>
    </row>
    <row r="126" spans="1:32" x14ac:dyDescent="0.35">
      <c r="A126" s="1">
        <v>0</v>
      </c>
      <c r="B126" t="s">
        <v>286</v>
      </c>
      <c r="C126" t="s">
        <v>9</v>
      </c>
      <c r="D126" t="s">
        <v>39</v>
      </c>
      <c r="E126" t="s">
        <v>39</v>
      </c>
      <c r="F126" t="s">
        <v>97</v>
      </c>
      <c r="G126">
        <v>31</v>
      </c>
      <c r="H126" t="s">
        <v>287</v>
      </c>
      <c r="I126">
        <v>0.80759650468826294</v>
      </c>
      <c r="J126">
        <v>0.20117248594760895</v>
      </c>
      <c r="K126">
        <v>2</v>
      </c>
      <c r="L126">
        <v>12000000</v>
      </c>
      <c r="M126">
        <v>6000000</v>
      </c>
      <c r="O126" t="s">
        <v>129</v>
      </c>
      <c r="P126">
        <v>1</v>
      </c>
      <c r="Q126">
        <v>10000000</v>
      </c>
      <c r="R126">
        <v>10000000</v>
      </c>
      <c r="S126">
        <f t="shared" si="21"/>
        <v>0</v>
      </c>
      <c r="T126">
        <f t="shared" si="22"/>
        <v>0</v>
      </c>
      <c r="U126">
        <f t="shared" si="14"/>
        <v>1</v>
      </c>
      <c r="V126">
        <v>0</v>
      </c>
      <c r="W126">
        <f t="shared" si="15"/>
        <v>0</v>
      </c>
      <c r="X126">
        <f t="shared" si="16"/>
        <v>0</v>
      </c>
      <c r="Y126">
        <f t="shared" si="17"/>
        <v>0</v>
      </c>
      <c r="Z126">
        <f t="shared" si="18"/>
        <v>0</v>
      </c>
      <c r="AA126">
        <f t="shared" si="23"/>
        <v>0</v>
      </c>
      <c r="AB126">
        <f t="shared" si="24"/>
        <v>0</v>
      </c>
      <c r="AC126">
        <f t="shared" si="25"/>
        <v>0</v>
      </c>
      <c r="AD126">
        <f t="shared" si="19"/>
        <v>0</v>
      </c>
      <c r="AE126">
        <f t="shared" si="20"/>
        <v>0</v>
      </c>
      <c r="AF126">
        <f t="shared" si="13"/>
        <v>6000000</v>
      </c>
    </row>
    <row r="127" spans="1:32" x14ac:dyDescent="0.35">
      <c r="A127" s="1">
        <v>0</v>
      </c>
      <c r="B127" t="s">
        <v>552</v>
      </c>
      <c r="C127" t="s">
        <v>9</v>
      </c>
      <c r="D127" t="s">
        <v>39</v>
      </c>
      <c r="E127" t="s">
        <v>39</v>
      </c>
      <c r="F127" t="s">
        <v>34</v>
      </c>
      <c r="G127">
        <v>35</v>
      </c>
      <c r="H127" t="s">
        <v>553</v>
      </c>
      <c r="I127">
        <v>5.6362487375736237E-2</v>
      </c>
      <c r="J127">
        <v>0.19918128848075867</v>
      </c>
      <c r="L127">
        <v>0</v>
      </c>
      <c r="O127" t="s">
        <v>78</v>
      </c>
      <c r="P127">
        <v>1</v>
      </c>
      <c r="Q127">
        <v>7750000</v>
      </c>
      <c r="R127">
        <v>7750000</v>
      </c>
      <c r="S127">
        <f t="shared" si="21"/>
        <v>0</v>
      </c>
      <c r="T127">
        <f t="shared" si="22"/>
        <v>0</v>
      </c>
      <c r="U127">
        <f t="shared" si="14"/>
        <v>1</v>
      </c>
      <c r="V127">
        <v>0</v>
      </c>
      <c r="W127">
        <f t="shared" si="15"/>
        <v>0</v>
      </c>
      <c r="X127">
        <f t="shared" si="16"/>
        <v>0</v>
      </c>
      <c r="Y127">
        <f t="shared" si="17"/>
        <v>0</v>
      </c>
      <c r="Z127">
        <f t="shared" si="18"/>
        <v>0</v>
      </c>
      <c r="AA127">
        <f t="shared" si="23"/>
        <v>0</v>
      </c>
      <c r="AB127">
        <f t="shared" si="24"/>
        <v>0</v>
      </c>
      <c r="AC127">
        <f t="shared" si="25"/>
        <v>0</v>
      </c>
      <c r="AD127">
        <f t="shared" si="19"/>
        <v>0</v>
      </c>
      <c r="AE127">
        <f t="shared" si="20"/>
        <v>0</v>
      </c>
      <c r="AF127">
        <f t="shared" si="13"/>
        <v>7750000</v>
      </c>
    </row>
    <row r="128" spans="1:32" x14ac:dyDescent="0.35">
      <c r="A128" s="1">
        <v>0</v>
      </c>
      <c r="B128" t="s">
        <v>550</v>
      </c>
      <c r="C128" t="s">
        <v>9</v>
      </c>
      <c r="D128" t="s">
        <v>33</v>
      </c>
      <c r="E128" t="s">
        <v>33</v>
      </c>
      <c r="F128" t="s">
        <v>129</v>
      </c>
      <c r="G128">
        <v>35</v>
      </c>
      <c r="H128" t="s">
        <v>192</v>
      </c>
      <c r="I128">
        <v>7.9370364546775818E-2</v>
      </c>
      <c r="J128">
        <v>0.19732068479061127</v>
      </c>
      <c r="L128">
        <v>0</v>
      </c>
      <c r="O128" t="s">
        <v>254</v>
      </c>
      <c r="P128">
        <v>1</v>
      </c>
      <c r="Q128">
        <v>2000000</v>
      </c>
      <c r="R128">
        <v>2000000</v>
      </c>
      <c r="S128">
        <f t="shared" si="21"/>
        <v>0</v>
      </c>
      <c r="T128">
        <f t="shared" si="22"/>
        <v>0</v>
      </c>
      <c r="U128">
        <f t="shared" si="14"/>
        <v>1</v>
      </c>
      <c r="V128">
        <v>0</v>
      </c>
      <c r="W128">
        <f t="shared" si="15"/>
        <v>0</v>
      </c>
      <c r="X128">
        <f t="shared" si="16"/>
        <v>0</v>
      </c>
      <c r="Y128">
        <f t="shared" si="17"/>
        <v>0</v>
      </c>
      <c r="Z128">
        <f t="shared" si="18"/>
        <v>0</v>
      </c>
      <c r="AA128">
        <f t="shared" si="23"/>
        <v>0</v>
      </c>
      <c r="AB128">
        <f t="shared" si="24"/>
        <v>0</v>
      </c>
      <c r="AC128">
        <f t="shared" si="25"/>
        <v>0</v>
      </c>
      <c r="AD128">
        <f t="shared" si="19"/>
        <v>0</v>
      </c>
      <c r="AE128">
        <f t="shared" si="20"/>
        <v>0</v>
      </c>
      <c r="AF128">
        <f t="shared" si="13"/>
        <v>2000000</v>
      </c>
    </row>
    <row r="129" spans="1:32" x14ac:dyDescent="0.35">
      <c r="A129" s="1">
        <v>0</v>
      </c>
      <c r="B129" t="s">
        <v>785</v>
      </c>
      <c r="C129" t="s">
        <v>9</v>
      </c>
      <c r="D129" t="s">
        <v>39</v>
      </c>
      <c r="E129" t="s">
        <v>39</v>
      </c>
      <c r="F129" t="s">
        <v>151</v>
      </c>
      <c r="G129">
        <v>29</v>
      </c>
      <c r="H129" t="s">
        <v>786</v>
      </c>
      <c r="I129">
        <v>-0.96331673860549927</v>
      </c>
      <c r="J129">
        <v>0.19612075388431549</v>
      </c>
      <c r="L129">
        <v>0</v>
      </c>
      <c r="O129" t="s">
        <v>48</v>
      </c>
      <c r="P129">
        <v>1</v>
      </c>
      <c r="Q129">
        <v>1400000</v>
      </c>
      <c r="R129">
        <v>1400000</v>
      </c>
      <c r="S129">
        <f t="shared" si="21"/>
        <v>0</v>
      </c>
      <c r="T129">
        <f t="shared" si="22"/>
        <v>0</v>
      </c>
      <c r="U129">
        <f t="shared" si="14"/>
        <v>1</v>
      </c>
      <c r="V129">
        <v>0</v>
      </c>
      <c r="W129">
        <f t="shared" si="15"/>
        <v>0</v>
      </c>
      <c r="X129">
        <f t="shared" si="16"/>
        <v>0</v>
      </c>
      <c r="Y129">
        <f t="shared" si="17"/>
        <v>0</v>
      </c>
      <c r="Z129">
        <f t="shared" si="18"/>
        <v>0</v>
      </c>
      <c r="AA129">
        <f t="shared" si="23"/>
        <v>0</v>
      </c>
      <c r="AB129">
        <f t="shared" si="24"/>
        <v>0</v>
      </c>
      <c r="AC129">
        <f t="shared" si="25"/>
        <v>0</v>
      </c>
      <c r="AD129">
        <f t="shared" si="19"/>
        <v>0</v>
      </c>
      <c r="AE129">
        <f t="shared" si="20"/>
        <v>0</v>
      </c>
      <c r="AF129">
        <f t="shared" si="13"/>
        <v>1400000</v>
      </c>
    </row>
    <row r="130" spans="1:32" x14ac:dyDescent="0.35">
      <c r="A130" s="1">
        <v>0</v>
      </c>
      <c r="B130" t="s">
        <v>490</v>
      </c>
      <c r="C130" t="s">
        <v>9</v>
      </c>
      <c r="D130" t="s">
        <v>39</v>
      </c>
      <c r="E130" t="s">
        <v>39</v>
      </c>
      <c r="F130" t="s">
        <v>104</v>
      </c>
      <c r="G130">
        <v>32</v>
      </c>
      <c r="H130" t="s">
        <v>491</v>
      </c>
      <c r="I130">
        <v>0.20318952202796936</v>
      </c>
      <c r="J130">
        <v>0.18711018562316895</v>
      </c>
      <c r="L130">
        <v>0</v>
      </c>
      <c r="O130" t="s">
        <v>141</v>
      </c>
      <c r="P130">
        <v>1</v>
      </c>
      <c r="Q130">
        <v>3000000</v>
      </c>
      <c r="R130">
        <v>3000000</v>
      </c>
      <c r="S130">
        <f t="shared" si="21"/>
        <v>0</v>
      </c>
      <c r="T130">
        <f t="shared" si="22"/>
        <v>0</v>
      </c>
      <c r="U130">
        <f t="shared" si="14"/>
        <v>1</v>
      </c>
      <c r="V130">
        <v>0</v>
      </c>
      <c r="W130">
        <f t="shared" si="15"/>
        <v>0</v>
      </c>
      <c r="X130">
        <f t="shared" si="16"/>
        <v>0</v>
      </c>
      <c r="Y130">
        <f t="shared" si="17"/>
        <v>0</v>
      </c>
      <c r="Z130">
        <f t="shared" si="18"/>
        <v>0</v>
      </c>
      <c r="AA130">
        <f t="shared" si="23"/>
        <v>0</v>
      </c>
      <c r="AB130">
        <f t="shared" si="24"/>
        <v>0</v>
      </c>
      <c r="AC130">
        <f t="shared" si="25"/>
        <v>0</v>
      </c>
      <c r="AD130">
        <f t="shared" si="19"/>
        <v>0</v>
      </c>
      <c r="AE130">
        <f t="shared" si="20"/>
        <v>0</v>
      </c>
      <c r="AF130">
        <f t="shared" si="13"/>
        <v>3000000</v>
      </c>
    </row>
    <row r="131" spans="1:32" x14ac:dyDescent="0.35">
      <c r="A131" s="1">
        <v>0</v>
      </c>
      <c r="B131" t="s">
        <v>558</v>
      </c>
      <c r="C131" t="s">
        <v>9</v>
      </c>
      <c r="D131" t="s">
        <v>39</v>
      </c>
      <c r="E131" t="s">
        <v>39</v>
      </c>
      <c r="F131" t="s">
        <v>102</v>
      </c>
      <c r="G131">
        <v>32</v>
      </c>
      <c r="H131" t="s">
        <v>559</v>
      </c>
      <c r="I131">
        <v>4.1170444339513779E-2</v>
      </c>
      <c r="J131">
        <v>0.18623954057693481</v>
      </c>
      <c r="K131">
        <v>1</v>
      </c>
      <c r="L131">
        <v>4000000</v>
      </c>
      <c r="M131">
        <v>4000000</v>
      </c>
      <c r="O131" t="s">
        <v>70</v>
      </c>
      <c r="P131">
        <v>1</v>
      </c>
      <c r="Q131">
        <v>2500000</v>
      </c>
      <c r="R131">
        <v>2500000</v>
      </c>
      <c r="S131">
        <f t="shared" si="21"/>
        <v>0</v>
      </c>
      <c r="T131">
        <f t="shared" si="22"/>
        <v>0</v>
      </c>
      <c r="U131">
        <f t="shared" si="14"/>
        <v>1</v>
      </c>
      <c r="V131">
        <v>0</v>
      </c>
      <c r="W131">
        <f t="shared" si="15"/>
        <v>0</v>
      </c>
      <c r="X131">
        <f t="shared" si="16"/>
        <v>0</v>
      </c>
      <c r="Y131">
        <f t="shared" si="17"/>
        <v>0</v>
      </c>
      <c r="Z131">
        <f t="shared" si="18"/>
        <v>0</v>
      </c>
      <c r="AA131">
        <f t="shared" si="23"/>
        <v>0</v>
      </c>
      <c r="AB131">
        <f t="shared" si="24"/>
        <v>0</v>
      </c>
      <c r="AC131">
        <f t="shared" si="25"/>
        <v>0</v>
      </c>
      <c r="AD131">
        <f t="shared" si="19"/>
        <v>0</v>
      </c>
      <c r="AE131">
        <f t="shared" si="20"/>
        <v>0</v>
      </c>
      <c r="AF131">
        <f t="shared" si="13"/>
        <v>4000000</v>
      </c>
    </row>
    <row r="132" spans="1:32" x14ac:dyDescent="0.35">
      <c r="A132" s="1">
        <v>0</v>
      </c>
      <c r="B132" t="s">
        <v>212</v>
      </c>
      <c r="C132" t="s">
        <v>10</v>
      </c>
      <c r="D132" t="s">
        <v>33</v>
      </c>
      <c r="E132" t="s">
        <v>33</v>
      </c>
      <c r="F132" t="s">
        <v>62</v>
      </c>
      <c r="G132">
        <v>28</v>
      </c>
      <c r="H132" t="s">
        <v>213</v>
      </c>
      <c r="I132">
        <v>1.2016021013259888</v>
      </c>
      <c r="J132">
        <v>0.18469195067882538</v>
      </c>
      <c r="L132">
        <v>0</v>
      </c>
      <c r="O132" t="s">
        <v>53</v>
      </c>
      <c r="P132">
        <v>2</v>
      </c>
      <c r="Q132">
        <v>18250000</v>
      </c>
      <c r="R132">
        <v>9125000</v>
      </c>
      <c r="S132">
        <f t="shared" si="21"/>
        <v>0</v>
      </c>
      <c r="T132">
        <f t="shared" si="22"/>
        <v>1</v>
      </c>
      <c r="U132">
        <f t="shared" si="14"/>
        <v>0</v>
      </c>
      <c r="V132">
        <v>0</v>
      </c>
      <c r="W132">
        <f t="shared" si="15"/>
        <v>0</v>
      </c>
      <c r="X132">
        <f t="shared" si="16"/>
        <v>0</v>
      </c>
      <c r="Y132">
        <f t="shared" si="17"/>
        <v>0</v>
      </c>
      <c r="Z132">
        <f t="shared" si="18"/>
        <v>0</v>
      </c>
      <c r="AA132">
        <f t="shared" si="23"/>
        <v>0</v>
      </c>
      <c r="AB132">
        <f t="shared" si="24"/>
        <v>0</v>
      </c>
      <c r="AC132">
        <f t="shared" si="25"/>
        <v>0</v>
      </c>
      <c r="AD132">
        <f t="shared" si="19"/>
        <v>0</v>
      </c>
      <c r="AE132">
        <f t="shared" si="20"/>
        <v>0</v>
      </c>
      <c r="AF132">
        <f t="shared" si="13"/>
        <v>9125000</v>
      </c>
    </row>
    <row r="133" spans="1:32" x14ac:dyDescent="0.35">
      <c r="A133" s="1">
        <v>0</v>
      </c>
      <c r="B133" t="s">
        <v>327</v>
      </c>
      <c r="C133" t="s">
        <v>116</v>
      </c>
      <c r="D133" t="s">
        <v>39</v>
      </c>
      <c r="E133" t="s">
        <v>39</v>
      </c>
      <c r="F133" t="s">
        <v>62</v>
      </c>
      <c r="G133">
        <v>36</v>
      </c>
      <c r="H133" t="s">
        <v>328</v>
      </c>
      <c r="I133">
        <v>0.6507299542427063</v>
      </c>
      <c r="J133">
        <v>0.1700701117515564</v>
      </c>
      <c r="L133">
        <v>0</v>
      </c>
      <c r="O133" t="s">
        <v>97</v>
      </c>
      <c r="P133">
        <v>1</v>
      </c>
      <c r="Q133">
        <v>1000000</v>
      </c>
      <c r="R133">
        <v>1000000</v>
      </c>
      <c r="S133">
        <f t="shared" si="21"/>
        <v>0</v>
      </c>
      <c r="T133">
        <f t="shared" si="22"/>
        <v>0</v>
      </c>
      <c r="U133">
        <f t="shared" si="14"/>
        <v>0</v>
      </c>
      <c r="V133">
        <v>0</v>
      </c>
      <c r="W133">
        <f t="shared" si="15"/>
        <v>0</v>
      </c>
      <c r="X133">
        <f t="shared" si="16"/>
        <v>0</v>
      </c>
      <c r="Y133">
        <f t="shared" si="17"/>
        <v>0</v>
      </c>
      <c r="Z133">
        <f t="shared" si="18"/>
        <v>0</v>
      </c>
      <c r="AA133">
        <f t="shared" si="23"/>
        <v>1</v>
      </c>
      <c r="AB133">
        <f t="shared" si="24"/>
        <v>1</v>
      </c>
      <c r="AC133">
        <f t="shared" si="25"/>
        <v>1</v>
      </c>
      <c r="AD133">
        <f t="shared" si="19"/>
        <v>0</v>
      </c>
      <c r="AE133">
        <f t="shared" si="20"/>
        <v>0</v>
      </c>
      <c r="AF133">
        <f t="shared" si="13"/>
        <v>1000000</v>
      </c>
    </row>
    <row r="134" spans="1:32" x14ac:dyDescent="0.35">
      <c r="A134" s="1">
        <v>0</v>
      </c>
      <c r="B134" t="s">
        <v>462</v>
      </c>
      <c r="C134" t="s">
        <v>9</v>
      </c>
      <c r="D134" t="s">
        <v>39</v>
      </c>
      <c r="E134" t="s">
        <v>39</v>
      </c>
      <c r="F134" t="s">
        <v>53</v>
      </c>
      <c r="G134">
        <v>38</v>
      </c>
      <c r="H134" t="s">
        <v>463</v>
      </c>
      <c r="I134">
        <v>0.26689878106117249</v>
      </c>
      <c r="J134">
        <v>0.16752976179122925</v>
      </c>
      <c r="K134">
        <v>1</v>
      </c>
      <c r="L134">
        <v>3000000</v>
      </c>
      <c r="M134">
        <v>3000000</v>
      </c>
      <c r="O134" t="s">
        <v>66</v>
      </c>
      <c r="P134">
        <v>1</v>
      </c>
      <c r="Q134">
        <v>1500000</v>
      </c>
      <c r="R134">
        <v>1500000</v>
      </c>
      <c r="S134">
        <f t="shared" si="21"/>
        <v>0</v>
      </c>
      <c r="T134">
        <f t="shared" si="22"/>
        <v>0</v>
      </c>
      <c r="U134">
        <f t="shared" si="14"/>
        <v>1</v>
      </c>
      <c r="V134">
        <v>0</v>
      </c>
      <c r="W134">
        <f t="shared" si="15"/>
        <v>0</v>
      </c>
      <c r="X134">
        <f t="shared" si="16"/>
        <v>0</v>
      </c>
      <c r="Y134">
        <f t="shared" si="17"/>
        <v>0</v>
      </c>
      <c r="Z134">
        <f t="shared" si="18"/>
        <v>0</v>
      </c>
      <c r="AA134">
        <f t="shared" si="23"/>
        <v>0</v>
      </c>
      <c r="AB134">
        <f t="shared" si="24"/>
        <v>0</v>
      </c>
      <c r="AC134">
        <f t="shared" si="25"/>
        <v>0</v>
      </c>
      <c r="AD134">
        <f t="shared" si="19"/>
        <v>0</v>
      </c>
      <c r="AE134">
        <f t="shared" si="20"/>
        <v>0</v>
      </c>
      <c r="AF134">
        <f t="shared" si="13"/>
        <v>3000000</v>
      </c>
    </row>
    <row r="135" spans="1:32" x14ac:dyDescent="0.35">
      <c r="A135" s="1">
        <v>0</v>
      </c>
      <c r="B135" t="s">
        <v>462</v>
      </c>
      <c r="C135" t="s">
        <v>9</v>
      </c>
      <c r="D135" t="s">
        <v>39</v>
      </c>
      <c r="E135" t="s">
        <v>39</v>
      </c>
      <c r="F135" t="s">
        <v>53</v>
      </c>
      <c r="G135">
        <v>38</v>
      </c>
      <c r="H135" t="s">
        <v>463</v>
      </c>
      <c r="I135">
        <v>0.26689878106117249</v>
      </c>
      <c r="J135">
        <v>0.16752976179122925</v>
      </c>
      <c r="K135">
        <v>1</v>
      </c>
      <c r="L135">
        <v>3000000</v>
      </c>
      <c r="M135">
        <v>3000000</v>
      </c>
      <c r="O135" t="s">
        <v>141</v>
      </c>
      <c r="P135">
        <v>1</v>
      </c>
      <c r="Q135">
        <v>339140</v>
      </c>
      <c r="R135">
        <v>339140</v>
      </c>
      <c r="S135">
        <f t="shared" si="21"/>
        <v>0</v>
      </c>
      <c r="T135">
        <f t="shared" si="22"/>
        <v>0</v>
      </c>
      <c r="U135">
        <f t="shared" si="14"/>
        <v>1</v>
      </c>
      <c r="V135">
        <v>0</v>
      </c>
      <c r="W135">
        <f t="shared" si="15"/>
        <v>0</v>
      </c>
      <c r="X135">
        <f t="shared" si="16"/>
        <v>0</v>
      </c>
      <c r="Y135">
        <f t="shared" si="17"/>
        <v>0</v>
      </c>
      <c r="Z135">
        <f t="shared" si="18"/>
        <v>0</v>
      </c>
      <c r="AA135">
        <f t="shared" si="23"/>
        <v>0</v>
      </c>
      <c r="AB135">
        <f t="shared" si="24"/>
        <v>0</v>
      </c>
      <c r="AC135">
        <f t="shared" si="25"/>
        <v>0</v>
      </c>
      <c r="AD135">
        <f t="shared" si="19"/>
        <v>0</v>
      </c>
      <c r="AE135">
        <f t="shared" si="20"/>
        <v>0</v>
      </c>
      <c r="AF135">
        <f t="shared" si="13"/>
        <v>3000000</v>
      </c>
    </row>
    <row r="136" spans="1:32" x14ac:dyDescent="0.35">
      <c r="A136" s="1">
        <v>0</v>
      </c>
      <c r="B136" t="s">
        <v>591</v>
      </c>
      <c r="C136" t="s">
        <v>9</v>
      </c>
      <c r="D136" t="s">
        <v>39</v>
      </c>
      <c r="E136" t="s">
        <v>39</v>
      </c>
      <c r="F136" t="s">
        <v>36</v>
      </c>
      <c r="G136">
        <v>33</v>
      </c>
      <c r="H136" t="s">
        <v>592</v>
      </c>
      <c r="I136">
        <v>-3.0892983078956604E-2</v>
      </c>
      <c r="J136">
        <v>0.16131676733493805</v>
      </c>
      <c r="L136">
        <v>0</v>
      </c>
      <c r="O136" t="s">
        <v>36</v>
      </c>
      <c r="P136">
        <v>1</v>
      </c>
      <c r="Q136">
        <v>4500000</v>
      </c>
      <c r="R136">
        <v>4500000</v>
      </c>
      <c r="S136">
        <f t="shared" si="21"/>
        <v>0</v>
      </c>
      <c r="T136">
        <f t="shared" si="22"/>
        <v>0</v>
      </c>
      <c r="U136">
        <f t="shared" si="14"/>
        <v>1</v>
      </c>
      <c r="V136">
        <v>0</v>
      </c>
      <c r="W136">
        <f t="shared" si="15"/>
        <v>0</v>
      </c>
      <c r="X136">
        <f t="shared" si="16"/>
        <v>0</v>
      </c>
      <c r="Y136">
        <f t="shared" si="17"/>
        <v>0</v>
      </c>
      <c r="Z136">
        <f t="shared" si="18"/>
        <v>0</v>
      </c>
      <c r="AA136">
        <f t="shared" si="23"/>
        <v>0</v>
      </c>
      <c r="AB136">
        <f t="shared" si="24"/>
        <v>0</v>
      </c>
      <c r="AC136">
        <f t="shared" si="25"/>
        <v>0</v>
      </c>
      <c r="AD136">
        <f t="shared" si="19"/>
        <v>0</v>
      </c>
      <c r="AE136">
        <f t="shared" si="20"/>
        <v>0</v>
      </c>
      <c r="AF136">
        <f t="shared" si="13"/>
        <v>4500000</v>
      </c>
    </row>
    <row r="137" spans="1:32" x14ac:dyDescent="0.35">
      <c r="A137" s="1">
        <v>0</v>
      </c>
      <c r="B137" t="s">
        <v>541</v>
      </c>
      <c r="C137" t="s">
        <v>542</v>
      </c>
      <c r="D137" t="s">
        <v>33</v>
      </c>
      <c r="E137" t="s">
        <v>39</v>
      </c>
      <c r="F137" t="s">
        <v>48</v>
      </c>
      <c r="G137">
        <v>30</v>
      </c>
      <c r="H137" t="s">
        <v>543</v>
      </c>
      <c r="I137">
        <v>0.10460204631090164</v>
      </c>
      <c r="J137">
        <v>0.14902991056442261</v>
      </c>
      <c r="L137">
        <v>0</v>
      </c>
      <c r="O137" t="s">
        <v>81</v>
      </c>
      <c r="P137">
        <v>1</v>
      </c>
      <c r="Q137">
        <v>2000000</v>
      </c>
      <c r="R137">
        <v>2000000</v>
      </c>
      <c r="S137">
        <f t="shared" si="21"/>
        <v>0</v>
      </c>
      <c r="T137">
        <f t="shared" si="22"/>
        <v>0</v>
      </c>
      <c r="U137">
        <f t="shared" si="14"/>
        <v>0</v>
      </c>
      <c r="V137">
        <v>0</v>
      </c>
      <c r="W137">
        <f t="shared" si="15"/>
        <v>0</v>
      </c>
      <c r="X137">
        <f t="shared" si="16"/>
        <v>1</v>
      </c>
      <c r="Y137">
        <f t="shared" si="17"/>
        <v>0</v>
      </c>
      <c r="Z137">
        <f t="shared" si="18"/>
        <v>1</v>
      </c>
      <c r="AA137">
        <f t="shared" si="23"/>
        <v>1</v>
      </c>
      <c r="AB137">
        <f t="shared" si="24"/>
        <v>0</v>
      </c>
      <c r="AC137">
        <f t="shared" si="25"/>
        <v>1</v>
      </c>
      <c r="AD137">
        <f t="shared" si="19"/>
        <v>0</v>
      </c>
      <c r="AE137">
        <f t="shared" si="20"/>
        <v>0</v>
      </c>
      <c r="AF137">
        <f t="shared" si="13"/>
        <v>2000000</v>
      </c>
    </row>
    <row r="138" spans="1:32" x14ac:dyDescent="0.35">
      <c r="A138" s="1">
        <v>0</v>
      </c>
      <c r="B138" t="s">
        <v>396</v>
      </c>
      <c r="C138" t="s">
        <v>9</v>
      </c>
      <c r="D138" t="s">
        <v>45</v>
      </c>
      <c r="E138" t="s">
        <v>39</v>
      </c>
      <c r="F138" t="s">
        <v>36</v>
      </c>
      <c r="G138">
        <v>39</v>
      </c>
      <c r="H138" t="s">
        <v>397</v>
      </c>
      <c r="I138">
        <v>0.45945456624031067</v>
      </c>
      <c r="J138">
        <v>0.14225183427333832</v>
      </c>
      <c r="L138">
        <v>0</v>
      </c>
      <c r="O138" t="s">
        <v>34</v>
      </c>
      <c r="P138">
        <v>1</v>
      </c>
      <c r="Q138">
        <v>53763</v>
      </c>
      <c r="R138">
        <v>53763</v>
      </c>
      <c r="S138">
        <f t="shared" si="21"/>
        <v>0</v>
      </c>
      <c r="T138">
        <f t="shared" si="22"/>
        <v>0</v>
      </c>
      <c r="U138">
        <f t="shared" si="14"/>
        <v>1</v>
      </c>
      <c r="V138">
        <v>0</v>
      </c>
      <c r="W138">
        <f t="shared" si="15"/>
        <v>0</v>
      </c>
      <c r="X138">
        <f t="shared" si="16"/>
        <v>0</v>
      </c>
      <c r="Y138">
        <f t="shared" si="17"/>
        <v>0</v>
      </c>
      <c r="Z138">
        <f t="shared" si="18"/>
        <v>0</v>
      </c>
      <c r="AA138">
        <f t="shared" si="23"/>
        <v>0</v>
      </c>
      <c r="AB138">
        <f t="shared" si="24"/>
        <v>0</v>
      </c>
      <c r="AC138">
        <f t="shared" si="25"/>
        <v>0</v>
      </c>
      <c r="AD138">
        <f t="shared" si="19"/>
        <v>0</v>
      </c>
      <c r="AE138">
        <f t="shared" si="20"/>
        <v>0</v>
      </c>
      <c r="AF138">
        <f t="shared" si="13"/>
        <v>53763</v>
      </c>
    </row>
    <row r="139" spans="1:32" x14ac:dyDescent="0.35">
      <c r="A139" s="1">
        <v>0</v>
      </c>
      <c r="B139" t="s">
        <v>403</v>
      </c>
      <c r="C139" t="s">
        <v>9</v>
      </c>
      <c r="D139" t="s">
        <v>39</v>
      </c>
      <c r="E139" t="s">
        <v>33</v>
      </c>
      <c r="F139" t="s">
        <v>97</v>
      </c>
      <c r="G139">
        <v>35</v>
      </c>
      <c r="H139" t="s">
        <v>404</v>
      </c>
      <c r="I139">
        <v>0.42827689647674561</v>
      </c>
      <c r="J139">
        <v>0.13597886264324188</v>
      </c>
      <c r="L139">
        <v>0</v>
      </c>
      <c r="O139" t="s">
        <v>141</v>
      </c>
      <c r="P139">
        <v>1</v>
      </c>
      <c r="Q139">
        <v>1000000</v>
      </c>
      <c r="R139">
        <v>1000000</v>
      </c>
      <c r="S139">
        <f t="shared" si="21"/>
        <v>0</v>
      </c>
      <c r="T139">
        <f t="shared" si="22"/>
        <v>0</v>
      </c>
      <c r="U139">
        <f t="shared" si="14"/>
        <v>1</v>
      </c>
      <c r="V139">
        <v>0</v>
      </c>
      <c r="W139">
        <f t="shared" si="15"/>
        <v>0</v>
      </c>
      <c r="X139">
        <f t="shared" si="16"/>
        <v>0</v>
      </c>
      <c r="Y139">
        <f t="shared" si="17"/>
        <v>0</v>
      </c>
      <c r="Z139">
        <f t="shared" si="18"/>
        <v>0</v>
      </c>
      <c r="AA139">
        <f t="shared" si="23"/>
        <v>0</v>
      </c>
      <c r="AB139">
        <f t="shared" si="24"/>
        <v>0</v>
      </c>
      <c r="AC139">
        <f t="shared" si="25"/>
        <v>0</v>
      </c>
      <c r="AD139">
        <f t="shared" si="19"/>
        <v>0</v>
      </c>
      <c r="AE139">
        <f t="shared" si="20"/>
        <v>0</v>
      </c>
      <c r="AF139">
        <f t="shared" si="13"/>
        <v>1000000</v>
      </c>
    </row>
    <row r="140" spans="1:32" x14ac:dyDescent="0.35">
      <c r="A140" s="1">
        <v>0</v>
      </c>
      <c r="B140" t="s">
        <v>425</v>
      </c>
      <c r="C140" t="s">
        <v>3</v>
      </c>
      <c r="D140" t="s">
        <v>39</v>
      </c>
      <c r="E140" t="s">
        <v>39</v>
      </c>
      <c r="F140" t="s">
        <v>70</v>
      </c>
      <c r="G140">
        <v>34</v>
      </c>
      <c r="H140" t="s">
        <v>426</v>
      </c>
      <c r="I140">
        <v>0.36488145589828491</v>
      </c>
      <c r="J140">
        <v>0.13363847136497498</v>
      </c>
      <c r="L140">
        <v>0</v>
      </c>
      <c r="O140" t="s">
        <v>70</v>
      </c>
      <c r="P140">
        <v>1</v>
      </c>
      <c r="Q140">
        <v>1100000</v>
      </c>
      <c r="R140">
        <v>1100000</v>
      </c>
      <c r="S140">
        <f t="shared" si="21"/>
        <v>0</v>
      </c>
      <c r="T140">
        <f t="shared" si="22"/>
        <v>0</v>
      </c>
      <c r="U140">
        <f t="shared" si="14"/>
        <v>0</v>
      </c>
      <c r="V140">
        <v>1</v>
      </c>
      <c r="W140">
        <f t="shared" si="15"/>
        <v>0</v>
      </c>
      <c r="X140">
        <f t="shared" si="16"/>
        <v>0</v>
      </c>
      <c r="Y140">
        <f t="shared" si="17"/>
        <v>0</v>
      </c>
      <c r="Z140">
        <f t="shared" si="18"/>
        <v>0</v>
      </c>
      <c r="AA140">
        <f t="shared" si="23"/>
        <v>0</v>
      </c>
      <c r="AB140">
        <f t="shared" si="24"/>
        <v>0</v>
      </c>
      <c r="AC140">
        <f t="shared" si="25"/>
        <v>0</v>
      </c>
      <c r="AD140">
        <f t="shared" si="19"/>
        <v>0</v>
      </c>
      <c r="AE140">
        <f t="shared" si="20"/>
        <v>0</v>
      </c>
      <c r="AF140">
        <f t="shared" si="13"/>
        <v>1100000</v>
      </c>
    </row>
    <row r="141" spans="1:32" x14ac:dyDescent="0.35">
      <c r="A141" s="1">
        <v>0</v>
      </c>
      <c r="B141" t="s">
        <v>739</v>
      </c>
      <c r="C141" t="s">
        <v>740</v>
      </c>
      <c r="D141" t="s">
        <v>33</v>
      </c>
      <c r="E141" t="s">
        <v>39</v>
      </c>
      <c r="F141" t="s">
        <v>81</v>
      </c>
      <c r="G141">
        <v>33</v>
      </c>
      <c r="H141" t="s">
        <v>741</v>
      </c>
      <c r="I141">
        <v>-0.51940852403640747</v>
      </c>
      <c r="J141">
        <v>0.12648271024227142</v>
      </c>
      <c r="L141">
        <v>0</v>
      </c>
      <c r="O141" t="s">
        <v>125</v>
      </c>
      <c r="P141">
        <v>1</v>
      </c>
      <c r="Q141">
        <v>1525000</v>
      </c>
      <c r="R141">
        <v>1525000</v>
      </c>
      <c r="S141">
        <f t="shared" si="21"/>
        <v>0</v>
      </c>
      <c r="T141">
        <f t="shared" si="22"/>
        <v>0</v>
      </c>
      <c r="U141">
        <f t="shared" si="14"/>
        <v>0</v>
      </c>
      <c r="V141">
        <v>0</v>
      </c>
      <c r="W141">
        <f t="shared" si="15"/>
        <v>0</v>
      </c>
      <c r="X141">
        <f t="shared" si="16"/>
        <v>1</v>
      </c>
      <c r="Y141">
        <f t="shared" si="17"/>
        <v>0</v>
      </c>
      <c r="Z141">
        <f t="shared" si="18"/>
        <v>0</v>
      </c>
      <c r="AA141">
        <f t="shared" si="23"/>
        <v>1</v>
      </c>
      <c r="AB141">
        <f t="shared" si="24"/>
        <v>0</v>
      </c>
      <c r="AC141">
        <f t="shared" si="25"/>
        <v>1</v>
      </c>
      <c r="AD141">
        <f t="shared" si="19"/>
        <v>0</v>
      </c>
      <c r="AE141">
        <f t="shared" si="20"/>
        <v>0</v>
      </c>
      <c r="AF141">
        <f t="shared" si="13"/>
        <v>1525000</v>
      </c>
    </row>
    <row r="142" spans="1:32" x14ac:dyDescent="0.35">
      <c r="A142" s="1">
        <v>0</v>
      </c>
      <c r="B142" t="s">
        <v>447</v>
      </c>
      <c r="C142" t="s">
        <v>9</v>
      </c>
      <c r="D142" t="s">
        <v>39</v>
      </c>
      <c r="E142" t="s">
        <v>39</v>
      </c>
      <c r="F142" t="s">
        <v>184</v>
      </c>
      <c r="G142">
        <v>35</v>
      </c>
      <c r="H142" t="s">
        <v>448</v>
      </c>
      <c r="I142">
        <v>0.29568716883659363</v>
      </c>
      <c r="J142">
        <v>0.11859180778264999</v>
      </c>
      <c r="K142">
        <v>1</v>
      </c>
      <c r="L142">
        <v>3000000</v>
      </c>
      <c r="M142">
        <v>3000000</v>
      </c>
      <c r="O142" t="s">
        <v>56</v>
      </c>
      <c r="P142">
        <v>1</v>
      </c>
      <c r="Q142">
        <v>10000000</v>
      </c>
      <c r="R142">
        <v>10000000</v>
      </c>
      <c r="S142">
        <f t="shared" si="21"/>
        <v>0</v>
      </c>
      <c r="T142">
        <f t="shared" si="22"/>
        <v>0</v>
      </c>
      <c r="U142">
        <f t="shared" si="14"/>
        <v>1</v>
      </c>
      <c r="V142">
        <v>0</v>
      </c>
      <c r="W142">
        <f t="shared" si="15"/>
        <v>0</v>
      </c>
      <c r="X142">
        <f t="shared" si="16"/>
        <v>0</v>
      </c>
      <c r="Y142">
        <f t="shared" si="17"/>
        <v>0</v>
      </c>
      <c r="Z142">
        <f t="shared" si="18"/>
        <v>0</v>
      </c>
      <c r="AA142">
        <f t="shared" si="23"/>
        <v>0</v>
      </c>
      <c r="AB142">
        <f t="shared" si="24"/>
        <v>0</v>
      </c>
      <c r="AC142">
        <f t="shared" si="25"/>
        <v>0</v>
      </c>
      <c r="AD142">
        <f t="shared" si="19"/>
        <v>0</v>
      </c>
      <c r="AE142">
        <f t="shared" si="20"/>
        <v>0</v>
      </c>
      <c r="AF142">
        <f t="shared" si="13"/>
        <v>3000000</v>
      </c>
    </row>
    <row r="143" spans="1:32" x14ac:dyDescent="0.35">
      <c r="A143" s="1">
        <v>0</v>
      </c>
      <c r="B143" t="s">
        <v>698</v>
      </c>
      <c r="C143" t="s">
        <v>10</v>
      </c>
      <c r="D143" t="s">
        <v>39</v>
      </c>
      <c r="E143" t="s">
        <v>39</v>
      </c>
      <c r="F143" t="s">
        <v>40</v>
      </c>
      <c r="G143">
        <v>27</v>
      </c>
      <c r="H143" t="s">
        <v>699</v>
      </c>
      <c r="I143">
        <v>-0.25622951984405518</v>
      </c>
      <c r="J143">
        <v>0.11794913560152054</v>
      </c>
      <c r="L143">
        <v>0</v>
      </c>
      <c r="O143" t="s">
        <v>151</v>
      </c>
      <c r="P143">
        <v>1</v>
      </c>
      <c r="Q143">
        <v>1050000</v>
      </c>
      <c r="R143">
        <v>1050000</v>
      </c>
      <c r="S143">
        <f t="shared" si="21"/>
        <v>0</v>
      </c>
      <c r="T143">
        <f t="shared" si="22"/>
        <v>1</v>
      </c>
      <c r="U143">
        <f t="shared" si="14"/>
        <v>0</v>
      </c>
      <c r="V143">
        <v>0</v>
      </c>
      <c r="W143">
        <f t="shared" si="15"/>
        <v>0</v>
      </c>
      <c r="X143">
        <f t="shared" si="16"/>
        <v>0</v>
      </c>
      <c r="Y143">
        <f t="shared" si="17"/>
        <v>0</v>
      </c>
      <c r="Z143">
        <f t="shared" si="18"/>
        <v>0</v>
      </c>
      <c r="AA143">
        <f t="shared" si="23"/>
        <v>0</v>
      </c>
      <c r="AB143">
        <f t="shared" si="24"/>
        <v>0</v>
      </c>
      <c r="AC143">
        <f t="shared" si="25"/>
        <v>0</v>
      </c>
      <c r="AD143">
        <f t="shared" si="19"/>
        <v>0</v>
      </c>
      <c r="AE143">
        <f t="shared" si="20"/>
        <v>0</v>
      </c>
      <c r="AF143">
        <f t="shared" si="13"/>
        <v>1050000</v>
      </c>
    </row>
    <row r="144" spans="1:32" x14ac:dyDescent="0.35">
      <c r="A144" s="1">
        <v>0</v>
      </c>
      <c r="B144" t="s">
        <v>510</v>
      </c>
      <c r="C144" t="s">
        <v>3</v>
      </c>
      <c r="D144" t="s">
        <v>39</v>
      </c>
      <c r="E144" t="s">
        <v>39</v>
      </c>
      <c r="F144" t="s">
        <v>56</v>
      </c>
      <c r="G144">
        <v>35</v>
      </c>
      <c r="H144" t="s">
        <v>96</v>
      </c>
      <c r="I144">
        <v>0.15860511362552643</v>
      </c>
      <c r="J144">
        <v>0.11500290781259537</v>
      </c>
      <c r="L144">
        <v>0</v>
      </c>
      <c r="O144" t="s">
        <v>58</v>
      </c>
      <c r="P144">
        <v>1</v>
      </c>
      <c r="Q144">
        <v>404516</v>
      </c>
      <c r="R144">
        <v>404516</v>
      </c>
      <c r="S144">
        <f t="shared" si="21"/>
        <v>0</v>
      </c>
      <c r="T144">
        <f t="shared" si="22"/>
        <v>0</v>
      </c>
      <c r="U144">
        <f t="shared" si="14"/>
        <v>0</v>
      </c>
      <c r="V144">
        <v>1</v>
      </c>
      <c r="W144">
        <f t="shared" si="15"/>
        <v>0</v>
      </c>
      <c r="X144">
        <f t="shared" si="16"/>
        <v>0</v>
      </c>
      <c r="Y144">
        <f t="shared" si="17"/>
        <v>0</v>
      </c>
      <c r="Z144">
        <f t="shared" si="18"/>
        <v>0</v>
      </c>
      <c r="AA144">
        <f t="shared" si="23"/>
        <v>0</v>
      </c>
      <c r="AB144">
        <f t="shared" si="24"/>
        <v>0</v>
      </c>
      <c r="AC144">
        <f t="shared" si="25"/>
        <v>0</v>
      </c>
      <c r="AD144">
        <f t="shared" si="19"/>
        <v>0</v>
      </c>
      <c r="AE144">
        <f t="shared" si="20"/>
        <v>0</v>
      </c>
      <c r="AF144">
        <f t="shared" si="13"/>
        <v>404516</v>
      </c>
    </row>
    <row r="145" spans="1:32" x14ac:dyDescent="0.35">
      <c r="A145" s="1">
        <v>0</v>
      </c>
      <c r="B145" t="s">
        <v>253</v>
      </c>
      <c r="C145" t="s">
        <v>3</v>
      </c>
      <c r="D145" t="s">
        <v>39</v>
      </c>
      <c r="E145" t="s">
        <v>39</v>
      </c>
      <c r="F145" t="s">
        <v>254</v>
      </c>
      <c r="G145">
        <v>35</v>
      </c>
      <c r="H145" t="s">
        <v>255</v>
      </c>
      <c r="I145">
        <v>0.90673166513442993</v>
      </c>
      <c r="J145">
        <v>0.11341314762830734</v>
      </c>
      <c r="L145">
        <v>0</v>
      </c>
      <c r="O145" t="s">
        <v>254</v>
      </c>
      <c r="P145">
        <v>1</v>
      </c>
      <c r="Q145">
        <v>2500000</v>
      </c>
      <c r="R145">
        <v>2500000</v>
      </c>
      <c r="S145">
        <f t="shared" si="21"/>
        <v>0</v>
      </c>
      <c r="T145">
        <f t="shared" si="22"/>
        <v>0</v>
      </c>
      <c r="U145">
        <f t="shared" si="14"/>
        <v>0</v>
      </c>
      <c r="V145">
        <v>1</v>
      </c>
      <c r="W145">
        <f t="shared" si="15"/>
        <v>0</v>
      </c>
      <c r="X145">
        <f t="shared" si="16"/>
        <v>0</v>
      </c>
      <c r="Y145">
        <f t="shared" si="17"/>
        <v>0</v>
      </c>
      <c r="Z145">
        <f t="shared" si="18"/>
        <v>0</v>
      </c>
      <c r="AA145">
        <f t="shared" si="23"/>
        <v>0</v>
      </c>
      <c r="AB145">
        <f t="shared" si="24"/>
        <v>0</v>
      </c>
      <c r="AC145">
        <f t="shared" si="25"/>
        <v>0</v>
      </c>
      <c r="AD145">
        <f t="shared" si="19"/>
        <v>0</v>
      </c>
      <c r="AE145">
        <f t="shared" si="20"/>
        <v>0</v>
      </c>
      <c r="AF145">
        <f t="shared" ref="AF145:AF170" si="26">IF(M145="", R145, M145)</f>
        <v>2500000</v>
      </c>
    </row>
    <row r="146" spans="1:32" x14ac:dyDescent="0.35">
      <c r="A146" s="1">
        <v>0</v>
      </c>
      <c r="B146" t="s">
        <v>253</v>
      </c>
      <c r="C146" t="s">
        <v>3</v>
      </c>
      <c r="D146" t="s">
        <v>39</v>
      </c>
      <c r="E146" t="s">
        <v>39</v>
      </c>
      <c r="F146" t="s">
        <v>254</v>
      </c>
      <c r="G146">
        <v>35</v>
      </c>
      <c r="H146" t="s">
        <v>255</v>
      </c>
      <c r="I146">
        <v>0.90673166513442993</v>
      </c>
      <c r="J146">
        <v>0.11341314762830734</v>
      </c>
      <c r="L146">
        <v>0</v>
      </c>
      <c r="O146" t="s">
        <v>56</v>
      </c>
      <c r="P146">
        <v>1</v>
      </c>
      <c r="Q146">
        <v>367742</v>
      </c>
      <c r="R146">
        <v>367742</v>
      </c>
      <c r="S146">
        <f t="shared" si="21"/>
        <v>0</v>
      </c>
      <c r="T146">
        <f t="shared" si="22"/>
        <v>0</v>
      </c>
      <c r="U146">
        <f t="shared" si="14"/>
        <v>0</v>
      </c>
      <c r="V146">
        <v>1</v>
      </c>
      <c r="W146">
        <f t="shared" si="15"/>
        <v>0</v>
      </c>
      <c r="X146">
        <f t="shared" si="16"/>
        <v>0</v>
      </c>
      <c r="Y146">
        <f t="shared" si="17"/>
        <v>0</v>
      </c>
      <c r="Z146">
        <f t="shared" si="18"/>
        <v>0</v>
      </c>
      <c r="AA146">
        <f t="shared" si="23"/>
        <v>0</v>
      </c>
      <c r="AB146">
        <f t="shared" si="24"/>
        <v>0</v>
      </c>
      <c r="AC146">
        <f t="shared" si="25"/>
        <v>0</v>
      </c>
      <c r="AD146">
        <f t="shared" si="19"/>
        <v>0</v>
      </c>
      <c r="AE146">
        <f t="shared" si="20"/>
        <v>0</v>
      </c>
      <c r="AF146">
        <f t="shared" si="26"/>
        <v>367742</v>
      </c>
    </row>
    <row r="147" spans="1:32" x14ac:dyDescent="0.35">
      <c r="A147" s="1">
        <v>0</v>
      </c>
      <c r="B147" t="s">
        <v>371</v>
      </c>
      <c r="C147" t="s">
        <v>347</v>
      </c>
      <c r="D147" t="s">
        <v>39</v>
      </c>
      <c r="E147" t="s">
        <v>39</v>
      </c>
      <c r="F147" t="s">
        <v>125</v>
      </c>
      <c r="G147">
        <v>38</v>
      </c>
      <c r="H147" t="s">
        <v>372</v>
      </c>
      <c r="I147">
        <v>0.50709640979766846</v>
      </c>
      <c r="J147">
        <v>0.10409662872552872</v>
      </c>
      <c r="L147">
        <v>0</v>
      </c>
      <c r="O147" t="s">
        <v>125</v>
      </c>
      <c r="P147">
        <v>1</v>
      </c>
      <c r="Q147">
        <v>5000000</v>
      </c>
      <c r="R147">
        <v>5000000</v>
      </c>
      <c r="S147">
        <f t="shared" si="21"/>
        <v>0</v>
      </c>
      <c r="T147">
        <f t="shared" si="22"/>
        <v>0</v>
      </c>
      <c r="U147">
        <f t="shared" si="14"/>
        <v>0</v>
      </c>
      <c r="V147">
        <v>0</v>
      </c>
      <c r="W147">
        <f t="shared" si="15"/>
        <v>0</v>
      </c>
      <c r="X147">
        <f t="shared" si="16"/>
        <v>0</v>
      </c>
      <c r="Y147">
        <f t="shared" si="17"/>
        <v>0</v>
      </c>
      <c r="Z147">
        <f t="shared" si="18"/>
        <v>0</v>
      </c>
      <c r="AA147">
        <f t="shared" si="23"/>
        <v>0</v>
      </c>
      <c r="AB147">
        <f t="shared" si="24"/>
        <v>0</v>
      </c>
      <c r="AC147">
        <f t="shared" si="25"/>
        <v>0</v>
      </c>
      <c r="AD147">
        <f t="shared" si="19"/>
        <v>0</v>
      </c>
      <c r="AE147">
        <f t="shared" si="20"/>
        <v>1</v>
      </c>
      <c r="AF147">
        <f t="shared" si="26"/>
        <v>5000000</v>
      </c>
    </row>
    <row r="148" spans="1:32" x14ac:dyDescent="0.35">
      <c r="A148" s="1">
        <v>0</v>
      </c>
      <c r="B148" t="s">
        <v>682</v>
      </c>
      <c r="C148" t="s">
        <v>9</v>
      </c>
      <c r="D148" t="s">
        <v>33</v>
      </c>
      <c r="E148" t="s">
        <v>33</v>
      </c>
      <c r="F148" t="s">
        <v>129</v>
      </c>
      <c r="G148">
        <v>32</v>
      </c>
      <c r="H148" t="s">
        <v>683</v>
      </c>
      <c r="I148">
        <v>-0.22588562965393066</v>
      </c>
      <c r="J148">
        <v>9.2887513339519501E-2</v>
      </c>
      <c r="L148">
        <v>0</v>
      </c>
      <c r="O148" t="s">
        <v>53</v>
      </c>
      <c r="P148">
        <v>1</v>
      </c>
      <c r="Q148">
        <v>1000000</v>
      </c>
      <c r="R148">
        <v>1000000</v>
      </c>
      <c r="S148">
        <f t="shared" si="21"/>
        <v>0</v>
      </c>
      <c r="T148">
        <f t="shared" si="22"/>
        <v>0</v>
      </c>
      <c r="U148">
        <f t="shared" si="14"/>
        <v>1</v>
      </c>
      <c r="V148">
        <v>0</v>
      </c>
      <c r="W148">
        <f t="shared" si="15"/>
        <v>0</v>
      </c>
      <c r="X148">
        <f t="shared" si="16"/>
        <v>0</v>
      </c>
      <c r="Y148">
        <f t="shared" si="17"/>
        <v>0</v>
      </c>
      <c r="Z148">
        <f t="shared" si="18"/>
        <v>0</v>
      </c>
      <c r="AA148">
        <f t="shared" si="23"/>
        <v>0</v>
      </c>
      <c r="AB148">
        <f t="shared" si="24"/>
        <v>0</v>
      </c>
      <c r="AC148">
        <f t="shared" si="25"/>
        <v>0</v>
      </c>
      <c r="AD148">
        <f t="shared" si="19"/>
        <v>0</v>
      </c>
      <c r="AE148">
        <f t="shared" si="20"/>
        <v>0</v>
      </c>
      <c r="AF148">
        <f t="shared" si="26"/>
        <v>1000000</v>
      </c>
    </row>
    <row r="149" spans="1:32" x14ac:dyDescent="0.35">
      <c r="A149" s="1">
        <v>0</v>
      </c>
      <c r="B149" t="s">
        <v>639</v>
      </c>
      <c r="C149" t="s">
        <v>9</v>
      </c>
      <c r="D149" t="s">
        <v>33</v>
      </c>
      <c r="E149" t="s">
        <v>33</v>
      </c>
      <c r="F149" t="s">
        <v>34</v>
      </c>
      <c r="G149">
        <v>33</v>
      </c>
      <c r="H149" t="s">
        <v>640</v>
      </c>
      <c r="I149">
        <v>-0.13033147156238556</v>
      </c>
      <c r="J149">
        <v>8.9233413338661194E-2</v>
      </c>
      <c r="L149">
        <v>0</v>
      </c>
      <c r="O149" t="s">
        <v>125</v>
      </c>
      <c r="P149">
        <v>1</v>
      </c>
      <c r="Q149">
        <v>1150000</v>
      </c>
      <c r="R149">
        <v>1150000</v>
      </c>
      <c r="S149">
        <f t="shared" si="21"/>
        <v>0</v>
      </c>
      <c r="T149">
        <f t="shared" si="22"/>
        <v>0</v>
      </c>
      <c r="U149">
        <f t="shared" si="14"/>
        <v>1</v>
      </c>
      <c r="V149">
        <v>0</v>
      </c>
      <c r="W149">
        <f t="shared" si="15"/>
        <v>0</v>
      </c>
      <c r="X149">
        <f t="shared" si="16"/>
        <v>0</v>
      </c>
      <c r="Y149">
        <f t="shared" si="17"/>
        <v>0</v>
      </c>
      <c r="Z149">
        <f t="shared" si="18"/>
        <v>0</v>
      </c>
      <c r="AA149">
        <f t="shared" si="23"/>
        <v>0</v>
      </c>
      <c r="AB149">
        <f t="shared" si="24"/>
        <v>0</v>
      </c>
      <c r="AC149">
        <f t="shared" si="25"/>
        <v>0</v>
      </c>
      <c r="AD149">
        <f t="shared" si="19"/>
        <v>0</v>
      </c>
      <c r="AE149">
        <f t="shared" si="20"/>
        <v>0</v>
      </c>
      <c r="AF149">
        <f t="shared" si="26"/>
        <v>1150000</v>
      </c>
    </row>
    <row r="150" spans="1:32" x14ac:dyDescent="0.35">
      <c r="A150" s="1">
        <v>0</v>
      </c>
      <c r="B150" t="s">
        <v>692</v>
      </c>
      <c r="C150" t="s">
        <v>273</v>
      </c>
      <c r="D150" t="s">
        <v>33</v>
      </c>
      <c r="E150" t="s">
        <v>39</v>
      </c>
      <c r="F150" t="s">
        <v>97</v>
      </c>
      <c r="G150">
        <v>34</v>
      </c>
      <c r="H150" t="s">
        <v>693</v>
      </c>
      <c r="I150">
        <v>-0.24523861706256866</v>
      </c>
      <c r="J150">
        <v>8.315015584230423E-2</v>
      </c>
      <c r="L150">
        <v>0</v>
      </c>
      <c r="O150" t="s">
        <v>151</v>
      </c>
      <c r="P150">
        <v>1</v>
      </c>
      <c r="Q150">
        <v>69892</v>
      </c>
      <c r="R150">
        <v>69892</v>
      </c>
      <c r="S150">
        <f t="shared" si="21"/>
        <v>0</v>
      </c>
      <c r="T150">
        <f t="shared" si="22"/>
        <v>0</v>
      </c>
      <c r="U150">
        <f t="shared" si="14"/>
        <v>0</v>
      </c>
      <c r="V150">
        <v>0</v>
      </c>
      <c r="W150">
        <f t="shared" si="15"/>
        <v>0</v>
      </c>
      <c r="X150">
        <f t="shared" si="16"/>
        <v>0</v>
      </c>
      <c r="Y150">
        <f t="shared" si="17"/>
        <v>0</v>
      </c>
      <c r="Z150">
        <f t="shared" si="18"/>
        <v>0</v>
      </c>
      <c r="AA150">
        <f t="shared" si="23"/>
        <v>1</v>
      </c>
      <c r="AB150">
        <f t="shared" si="24"/>
        <v>1</v>
      </c>
      <c r="AC150">
        <f t="shared" si="25"/>
        <v>1</v>
      </c>
      <c r="AD150">
        <f t="shared" si="19"/>
        <v>0</v>
      </c>
      <c r="AE150">
        <f t="shared" si="20"/>
        <v>0</v>
      </c>
      <c r="AF150">
        <f t="shared" si="26"/>
        <v>69892</v>
      </c>
    </row>
    <row r="151" spans="1:32" x14ac:dyDescent="0.35">
      <c r="A151" s="1">
        <v>0</v>
      </c>
      <c r="B151" t="s">
        <v>555</v>
      </c>
      <c r="C151" t="s">
        <v>9</v>
      </c>
      <c r="D151" t="s">
        <v>39</v>
      </c>
      <c r="E151" t="s">
        <v>39</v>
      </c>
      <c r="F151" t="s">
        <v>51</v>
      </c>
      <c r="G151">
        <v>36</v>
      </c>
      <c r="H151" t="s">
        <v>556</v>
      </c>
      <c r="I151">
        <v>4.3525613844394684E-2</v>
      </c>
      <c r="J151">
        <v>7.9020969569683075E-2</v>
      </c>
      <c r="L151">
        <v>0</v>
      </c>
      <c r="O151" t="s">
        <v>48</v>
      </c>
      <c r="P151">
        <v>1</v>
      </c>
      <c r="Q151">
        <v>75269</v>
      </c>
      <c r="R151">
        <v>75269</v>
      </c>
      <c r="S151">
        <f t="shared" si="21"/>
        <v>0</v>
      </c>
      <c r="T151">
        <f t="shared" si="22"/>
        <v>0</v>
      </c>
      <c r="U151">
        <f t="shared" ref="U151:U170" si="27">IF(ISNUMBER(SEARCH("RP", $C151)), 1, 0)</f>
        <v>1</v>
      </c>
      <c r="V151">
        <v>0</v>
      </c>
      <c r="W151">
        <f t="shared" ref="W151:W170" si="28">IF(ISNUMBER(SEARCH("1B", $C151)), 1, 0)</f>
        <v>0</v>
      </c>
      <c r="X151">
        <f t="shared" ref="X151:X170" si="29">IF(ISNUMBER(SEARCH("2B", $C151)), 1, 0)</f>
        <v>0</v>
      </c>
      <c r="Y151">
        <f t="shared" ref="Y151:Y170" si="30">IF(ISNUMBER(SEARCH("SS", $C151)), 1, 0)</f>
        <v>0</v>
      </c>
      <c r="Z151">
        <f t="shared" ref="Z151:Z170" si="31">IF(ISNUMBER(SEARCH("3B", $C151)), 1, 0)</f>
        <v>0</v>
      </c>
      <c r="AA151">
        <f t="shared" si="23"/>
        <v>0</v>
      </c>
      <c r="AB151">
        <f t="shared" si="24"/>
        <v>0</v>
      </c>
      <c r="AC151">
        <f t="shared" si="25"/>
        <v>0</v>
      </c>
      <c r="AD151">
        <f t="shared" ref="AD151:AD170" si="32">IF(ISNUMBER(SEARCH("OF", $C151)), 1, 0)</f>
        <v>0</v>
      </c>
      <c r="AE151">
        <f t="shared" ref="AE151:AE170" si="33">IF(ISNUMBER(SEARCH("DH", $C151)), 1, 0)</f>
        <v>0</v>
      </c>
      <c r="AF151">
        <f t="shared" si="26"/>
        <v>75269</v>
      </c>
    </row>
    <row r="152" spans="1:32" x14ac:dyDescent="0.35">
      <c r="A152" s="1">
        <v>0</v>
      </c>
      <c r="B152" t="s">
        <v>776</v>
      </c>
      <c r="C152" t="s">
        <v>364</v>
      </c>
      <c r="D152" t="s">
        <v>33</v>
      </c>
      <c r="E152" t="s">
        <v>33</v>
      </c>
      <c r="F152" t="s">
        <v>151</v>
      </c>
      <c r="G152">
        <v>29</v>
      </c>
      <c r="H152" t="s">
        <v>777</v>
      </c>
      <c r="I152">
        <v>-0.82241135835647583</v>
      </c>
      <c r="J152">
        <v>7.8812338411808014E-2</v>
      </c>
      <c r="L152">
        <v>0</v>
      </c>
      <c r="O152" t="s">
        <v>46</v>
      </c>
      <c r="P152">
        <v>1</v>
      </c>
      <c r="Q152">
        <v>1600000</v>
      </c>
      <c r="R152">
        <v>1600000</v>
      </c>
      <c r="S152">
        <f t="shared" ref="S152:S170" si="34">IF(N152&gt;0, 1, 0)</f>
        <v>0</v>
      </c>
      <c r="T152">
        <f t="shared" ref="T152:T170" si="35">IF(ISNUMBER(SEARCH("SP", $C152)), 1, 0)</f>
        <v>0</v>
      </c>
      <c r="U152">
        <f t="shared" si="27"/>
        <v>0</v>
      </c>
      <c r="V152">
        <v>0</v>
      </c>
      <c r="W152">
        <f t="shared" si="28"/>
        <v>1</v>
      </c>
      <c r="X152">
        <f t="shared" si="29"/>
        <v>0</v>
      </c>
      <c r="Y152">
        <f t="shared" si="30"/>
        <v>0</v>
      </c>
      <c r="Z152">
        <f t="shared" si="31"/>
        <v>0</v>
      </c>
      <c r="AA152">
        <f t="shared" ref="AA152:AA170" si="36">IF($AD152=1, 1, IF(ISNUMBER(SEARCH("LF", $C152)), 1, 0))</f>
        <v>1</v>
      </c>
      <c r="AB152">
        <f t="shared" ref="AB152:AB170" si="37">IF($AD152=1, 1, IF(ISNUMBER(SEARCH("CF", $C152)), 1, 0))</f>
        <v>0</v>
      </c>
      <c r="AC152">
        <f t="shared" ref="AC152:AC170" si="38">IF($AD152=1, 1, IF(ISNUMBER(SEARCH("RF", $C152)), 1, 0))</f>
        <v>1</v>
      </c>
      <c r="AD152">
        <f t="shared" si="32"/>
        <v>0</v>
      </c>
      <c r="AE152">
        <f t="shared" si="33"/>
        <v>0</v>
      </c>
      <c r="AF152">
        <f t="shared" si="26"/>
        <v>1600000</v>
      </c>
    </row>
    <row r="153" spans="1:32" x14ac:dyDescent="0.35">
      <c r="A153" s="1">
        <v>0</v>
      </c>
      <c r="B153" t="s">
        <v>821</v>
      </c>
      <c r="C153" t="s">
        <v>9</v>
      </c>
      <c r="D153" t="s">
        <v>39</v>
      </c>
      <c r="E153" t="s">
        <v>39</v>
      </c>
      <c r="F153" t="s">
        <v>51</v>
      </c>
      <c r="G153">
        <v>34</v>
      </c>
      <c r="H153" t="s">
        <v>822</v>
      </c>
      <c r="J153">
        <v>7.1345821022987366E-2</v>
      </c>
      <c r="L153">
        <v>0</v>
      </c>
      <c r="O153" t="s">
        <v>58</v>
      </c>
      <c r="P153">
        <v>1</v>
      </c>
      <c r="Q153">
        <v>1350000</v>
      </c>
      <c r="R153">
        <v>1350000</v>
      </c>
      <c r="S153">
        <f t="shared" si="34"/>
        <v>0</v>
      </c>
      <c r="T153">
        <f t="shared" si="35"/>
        <v>0</v>
      </c>
      <c r="U153">
        <f t="shared" si="27"/>
        <v>1</v>
      </c>
      <c r="V153">
        <v>0</v>
      </c>
      <c r="W153">
        <f t="shared" si="28"/>
        <v>0</v>
      </c>
      <c r="X153">
        <f t="shared" si="29"/>
        <v>0</v>
      </c>
      <c r="Y153">
        <f t="shared" si="30"/>
        <v>0</v>
      </c>
      <c r="Z153">
        <f t="shared" si="31"/>
        <v>0</v>
      </c>
      <c r="AA153">
        <f t="shared" si="36"/>
        <v>0</v>
      </c>
      <c r="AB153">
        <f t="shared" si="37"/>
        <v>0</v>
      </c>
      <c r="AC153">
        <f t="shared" si="38"/>
        <v>0</v>
      </c>
      <c r="AD153">
        <f t="shared" si="32"/>
        <v>0</v>
      </c>
      <c r="AE153">
        <f t="shared" si="33"/>
        <v>0</v>
      </c>
      <c r="AF153">
        <f t="shared" si="26"/>
        <v>1350000</v>
      </c>
    </row>
    <row r="154" spans="1:32" x14ac:dyDescent="0.35">
      <c r="A154" s="1">
        <v>0</v>
      </c>
      <c r="B154" t="s">
        <v>444</v>
      </c>
      <c r="C154" t="s">
        <v>9</v>
      </c>
      <c r="D154" t="s">
        <v>33</v>
      </c>
      <c r="E154" t="s">
        <v>33</v>
      </c>
      <c r="F154" t="s">
        <v>36</v>
      </c>
      <c r="G154">
        <v>37</v>
      </c>
      <c r="H154" t="s">
        <v>445</v>
      </c>
      <c r="I154">
        <v>0.30086380243301392</v>
      </c>
      <c r="J154">
        <v>6.8564809858798981E-2</v>
      </c>
      <c r="K154">
        <v>1</v>
      </c>
      <c r="L154">
        <v>4000000</v>
      </c>
      <c r="M154">
        <v>4000000</v>
      </c>
      <c r="O154" t="s">
        <v>36</v>
      </c>
      <c r="P154">
        <v>1</v>
      </c>
      <c r="Q154">
        <v>1850000</v>
      </c>
      <c r="R154">
        <v>1850000</v>
      </c>
      <c r="S154">
        <f t="shared" si="34"/>
        <v>0</v>
      </c>
      <c r="T154">
        <f t="shared" si="35"/>
        <v>0</v>
      </c>
      <c r="U154">
        <f t="shared" si="27"/>
        <v>1</v>
      </c>
      <c r="V154">
        <v>0</v>
      </c>
      <c r="W154">
        <f t="shared" si="28"/>
        <v>0</v>
      </c>
      <c r="X154">
        <f t="shared" si="29"/>
        <v>0</v>
      </c>
      <c r="Y154">
        <f t="shared" si="30"/>
        <v>0</v>
      </c>
      <c r="Z154">
        <f t="shared" si="31"/>
        <v>0</v>
      </c>
      <c r="AA154">
        <f t="shared" si="36"/>
        <v>0</v>
      </c>
      <c r="AB154">
        <f t="shared" si="37"/>
        <v>0</v>
      </c>
      <c r="AC154">
        <f t="shared" si="38"/>
        <v>0</v>
      </c>
      <c r="AD154">
        <f t="shared" si="32"/>
        <v>0</v>
      </c>
      <c r="AE154">
        <f t="shared" si="33"/>
        <v>0</v>
      </c>
      <c r="AF154">
        <f t="shared" si="26"/>
        <v>4000000</v>
      </c>
    </row>
    <row r="155" spans="1:32" x14ac:dyDescent="0.35">
      <c r="A155" s="1">
        <v>0</v>
      </c>
      <c r="B155" t="s">
        <v>764</v>
      </c>
      <c r="C155" t="s">
        <v>3</v>
      </c>
      <c r="D155" t="s">
        <v>39</v>
      </c>
      <c r="E155" t="s">
        <v>39</v>
      </c>
      <c r="F155" t="s">
        <v>70</v>
      </c>
      <c r="G155">
        <v>34</v>
      </c>
      <c r="H155" t="s">
        <v>765</v>
      </c>
      <c r="I155">
        <v>-0.69027155637741089</v>
      </c>
      <c r="J155">
        <v>6.6669568419456482E-2</v>
      </c>
      <c r="L155">
        <v>0</v>
      </c>
      <c r="O155" t="s">
        <v>81</v>
      </c>
      <c r="P155">
        <v>1</v>
      </c>
      <c r="Q155">
        <v>1182796</v>
      </c>
      <c r="R155">
        <v>1182796</v>
      </c>
      <c r="S155">
        <f t="shared" si="34"/>
        <v>0</v>
      </c>
      <c r="T155">
        <f t="shared" si="35"/>
        <v>0</v>
      </c>
      <c r="U155">
        <f t="shared" si="27"/>
        <v>0</v>
      </c>
      <c r="V155">
        <v>1</v>
      </c>
      <c r="W155">
        <f t="shared" si="28"/>
        <v>0</v>
      </c>
      <c r="X155">
        <f t="shared" si="29"/>
        <v>0</v>
      </c>
      <c r="Y155">
        <f t="shared" si="30"/>
        <v>0</v>
      </c>
      <c r="Z155">
        <f t="shared" si="31"/>
        <v>0</v>
      </c>
      <c r="AA155">
        <f t="shared" si="36"/>
        <v>0</v>
      </c>
      <c r="AB155">
        <f t="shared" si="37"/>
        <v>0</v>
      </c>
      <c r="AC155">
        <f t="shared" si="38"/>
        <v>0</v>
      </c>
      <c r="AD155">
        <f t="shared" si="32"/>
        <v>0</v>
      </c>
      <c r="AE155">
        <f t="shared" si="33"/>
        <v>0</v>
      </c>
      <c r="AF155">
        <f t="shared" si="26"/>
        <v>1182796</v>
      </c>
    </row>
    <row r="156" spans="1:32" x14ac:dyDescent="0.35">
      <c r="A156" s="1">
        <v>0</v>
      </c>
      <c r="B156" t="s">
        <v>538</v>
      </c>
      <c r="C156" t="s">
        <v>9</v>
      </c>
      <c r="D156" t="s">
        <v>39</v>
      </c>
      <c r="E156" t="s">
        <v>39</v>
      </c>
      <c r="F156" t="s">
        <v>36</v>
      </c>
      <c r="G156">
        <v>32</v>
      </c>
      <c r="H156" t="s">
        <v>539</v>
      </c>
      <c r="I156">
        <v>0.10687315464019775</v>
      </c>
      <c r="J156">
        <v>6.5068893134593964E-2</v>
      </c>
      <c r="L156">
        <v>0</v>
      </c>
      <c r="O156" t="s">
        <v>184</v>
      </c>
      <c r="P156">
        <v>1</v>
      </c>
      <c r="Q156">
        <v>2000000</v>
      </c>
      <c r="R156">
        <v>2000000</v>
      </c>
      <c r="S156">
        <f t="shared" si="34"/>
        <v>0</v>
      </c>
      <c r="T156">
        <f t="shared" si="35"/>
        <v>0</v>
      </c>
      <c r="U156">
        <f t="shared" si="27"/>
        <v>1</v>
      </c>
      <c r="V156">
        <v>0</v>
      </c>
      <c r="W156">
        <f t="shared" si="28"/>
        <v>0</v>
      </c>
      <c r="X156">
        <f t="shared" si="29"/>
        <v>0</v>
      </c>
      <c r="Y156">
        <f t="shared" si="30"/>
        <v>0</v>
      </c>
      <c r="Z156">
        <f t="shared" si="31"/>
        <v>0</v>
      </c>
      <c r="AA156">
        <f t="shared" si="36"/>
        <v>0</v>
      </c>
      <c r="AB156">
        <f t="shared" si="37"/>
        <v>0</v>
      </c>
      <c r="AC156">
        <f t="shared" si="38"/>
        <v>0</v>
      </c>
      <c r="AD156">
        <f t="shared" si="32"/>
        <v>0</v>
      </c>
      <c r="AE156">
        <f t="shared" si="33"/>
        <v>0</v>
      </c>
      <c r="AF156">
        <f t="shared" si="26"/>
        <v>2000000</v>
      </c>
    </row>
    <row r="157" spans="1:32" x14ac:dyDescent="0.35">
      <c r="A157" s="1">
        <v>0</v>
      </c>
      <c r="B157" t="s">
        <v>824</v>
      </c>
      <c r="C157" t="s">
        <v>10</v>
      </c>
      <c r="D157" t="s">
        <v>33</v>
      </c>
      <c r="E157" t="s">
        <v>33</v>
      </c>
      <c r="F157" t="s">
        <v>825</v>
      </c>
      <c r="G157">
        <v>32</v>
      </c>
      <c r="H157" t="s">
        <v>826</v>
      </c>
      <c r="J157">
        <v>6.3840761780738831E-2</v>
      </c>
      <c r="K157">
        <v>2</v>
      </c>
      <c r="L157">
        <v>14500000</v>
      </c>
      <c r="M157">
        <v>7250000</v>
      </c>
      <c r="O157" t="s">
        <v>46</v>
      </c>
      <c r="P157">
        <v>1</v>
      </c>
      <c r="Q157">
        <v>1500000</v>
      </c>
      <c r="R157">
        <v>1500000</v>
      </c>
      <c r="S157">
        <f t="shared" si="34"/>
        <v>0</v>
      </c>
      <c r="T157">
        <f t="shared" si="35"/>
        <v>1</v>
      </c>
      <c r="U157">
        <f t="shared" si="27"/>
        <v>0</v>
      </c>
      <c r="V157">
        <v>0</v>
      </c>
      <c r="W157">
        <f t="shared" si="28"/>
        <v>0</v>
      </c>
      <c r="X157">
        <f t="shared" si="29"/>
        <v>0</v>
      </c>
      <c r="Y157">
        <f t="shared" si="30"/>
        <v>0</v>
      </c>
      <c r="Z157">
        <f t="shared" si="31"/>
        <v>0</v>
      </c>
      <c r="AA157">
        <f t="shared" si="36"/>
        <v>0</v>
      </c>
      <c r="AB157">
        <f t="shared" si="37"/>
        <v>0</v>
      </c>
      <c r="AC157">
        <f t="shared" si="38"/>
        <v>0</v>
      </c>
      <c r="AD157">
        <f t="shared" si="32"/>
        <v>0</v>
      </c>
      <c r="AE157">
        <f t="shared" si="33"/>
        <v>0</v>
      </c>
      <c r="AF157">
        <f t="shared" si="26"/>
        <v>7250000</v>
      </c>
    </row>
    <row r="158" spans="1:32" x14ac:dyDescent="0.35">
      <c r="A158" s="1">
        <v>0</v>
      </c>
      <c r="B158" t="s">
        <v>794</v>
      </c>
      <c r="C158" t="s">
        <v>273</v>
      </c>
      <c r="D158" t="s">
        <v>39</v>
      </c>
      <c r="E158" t="s">
        <v>39</v>
      </c>
      <c r="F158" t="s">
        <v>125</v>
      </c>
      <c r="G158">
        <v>28</v>
      </c>
      <c r="H158" t="s">
        <v>795</v>
      </c>
      <c r="I158">
        <v>-1.0844602584838867</v>
      </c>
      <c r="J158">
        <v>6.0694601386785507E-2</v>
      </c>
      <c r="L158">
        <v>0</v>
      </c>
      <c r="O158" t="s">
        <v>48</v>
      </c>
      <c r="P158">
        <v>1</v>
      </c>
      <c r="Q158">
        <v>860000</v>
      </c>
      <c r="R158">
        <v>860000</v>
      </c>
      <c r="S158">
        <f t="shared" si="34"/>
        <v>0</v>
      </c>
      <c r="T158">
        <f t="shared" si="35"/>
        <v>0</v>
      </c>
      <c r="U158">
        <f t="shared" si="27"/>
        <v>0</v>
      </c>
      <c r="V158">
        <v>0</v>
      </c>
      <c r="W158">
        <f t="shared" si="28"/>
        <v>0</v>
      </c>
      <c r="X158">
        <f t="shared" si="29"/>
        <v>0</v>
      </c>
      <c r="Y158">
        <f t="shared" si="30"/>
        <v>0</v>
      </c>
      <c r="Z158">
        <f t="shared" si="31"/>
        <v>0</v>
      </c>
      <c r="AA158">
        <f t="shared" si="36"/>
        <v>1</v>
      </c>
      <c r="AB158">
        <f t="shared" si="37"/>
        <v>1</v>
      </c>
      <c r="AC158">
        <f t="shared" si="38"/>
        <v>1</v>
      </c>
      <c r="AD158">
        <f t="shared" si="32"/>
        <v>0</v>
      </c>
      <c r="AE158">
        <f t="shared" si="33"/>
        <v>0</v>
      </c>
      <c r="AF158">
        <f t="shared" si="26"/>
        <v>860000</v>
      </c>
    </row>
    <row r="159" spans="1:32" x14ac:dyDescent="0.35">
      <c r="A159" s="1">
        <v>0</v>
      </c>
      <c r="B159" t="s">
        <v>689</v>
      </c>
      <c r="C159" t="s">
        <v>9</v>
      </c>
      <c r="D159" t="s">
        <v>33</v>
      </c>
      <c r="E159" t="s">
        <v>33</v>
      </c>
      <c r="F159" t="s">
        <v>100</v>
      </c>
      <c r="G159">
        <v>33</v>
      </c>
      <c r="H159" t="s">
        <v>690</v>
      </c>
      <c r="I159">
        <v>-0.2403220534324646</v>
      </c>
      <c r="J159">
        <v>5.2799146622419357E-2</v>
      </c>
      <c r="L159">
        <v>0</v>
      </c>
      <c r="O159" t="s">
        <v>51</v>
      </c>
      <c r="P159">
        <v>1</v>
      </c>
      <c r="Q159">
        <v>1200000</v>
      </c>
      <c r="R159">
        <v>1200000</v>
      </c>
      <c r="S159">
        <f t="shared" si="34"/>
        <v>0</v>
      </c>
      <c r="T159">
        <f t="shared" si="35"/>
        <v>0</v>
      </c>
      <c r="U159">
        <f t="shared" si="27"/>
        <v>1</v>
      </c>
      <c r="V159">
        <v>0</v>
      </c>
      <c r="W159">
        <f t="shared" si="28"/>
        <v>0</v>
      </c>
      <c r="X159">
        <f t="shared" si="29"/>
        <v>0</v>
      </c>
      <c r="Y159">
        <f t="shared" si="30"/>
        <v>0</v>
      </c>
      <c r="Z159">
        <f t="shared" si="31"/>
        <v>0</v>
      </c>
      <c r="AA159">
        <f t="shared" si="36"/>
        <v>0</v>
      </c>
      <c r="AB159">
        <f t="shared" si="37"/>
        <v>0</v>
      </c>
      <c r="AC159">
        <f t="shared" si="38"/>
        <v>0</v>
      </c>
      <c r="AD159">
        <f t="shared" si="32"/>
        <v>0</v>
      </c>
      <c r="AE159">
        <f t="shared" si="33"/>
        <v>0</v>
      </c>
      <c r="AF159">
        <f t="shared" si="26"/>
        <v>1200000</v>
      </c>
    </row>
    <row r="160" spans="1:32" x14ac:dyDescent="0.35">
      <c r="A160" s="1">
        <v>0</v>
      </c>
      <c r="B160" t="s">
        <v>346</v>
      </c>
      <c r="C160" t="s">
        <v>347</v>
      </c>
      <c r="D160" t="s">
        <v>39</v>
      </c>
      <c r="E160" t="s">
        <v>39</v>
      </c>
      <c r="F160" t="s">
        <v>36</v>
      </c>
      <c r="G160">
        <v>37</v>
      </c>
      <c r="H160" t="s">
        <v>348</v>
      </c>
      <c r="I160">
        <v>0.5915982723236084</v>
      </c>
      <c r="J160">
        <v>5.1865734159946442E-2</v>
      </c>
      <c r="K160">
        <v>1</v>
      </c>
      <c r="L160">
        <v>9000000</v>
      </c>
      <c r="M160">
        <v>9000000</v>
      </c>
      <c r="S160">
        <f t="shared" si="34"/>
        <v>0</v>
      </c>
      <c r="T160">
        <f t="shared" si="35"/>
        <v>0</v>
      </c>
      <c r="U160">
        <f t="shared" si="27"/>
        <v>0</v>
      </c>
      <c r="V160">
        <v>0</v>
      </c>
      <c r="W160">
        <f t="shared" si="28"/>
        <v>0</v>
      </c>
      <c r="X160">
        <f t="shared" si="29"/>
        <v>0</v>
      </c>
      <c r="Y160">
        <f t="shared" si="30"/>
        <v>0</v>
      </c>
      <c r="Z160">
        <f t="shared" si="31"/>
        <v>0</v>
      </c>
      <c r="AA160">
        <f t="shared" si="36"/>
        <v>0</v>
      </c>
      <c r="AB160">
        <f t="shared" si="37"/>
        <v>0</v>
      </c>
      <c r="AC160">
        <f t="shared" si="38"/>
        <v>0</v>
      </c>
      <c r="AD160">
        <f t="shared" si="32"/>
        <v>0</v>
      </c>
      <c r="AE160">
        <f t="shared" si="33"/>
        <v>1</v>
      </c>
      <c r="AF160">
        <f t="shared" si="26"/>
        <v>9000000</v>
      </c>
    </row>
    <row r="161" spans="1:32" x14ac:dyDescent="0.35">
      <c r="A161" s="1">
        <v>0</v>
      </c>
      <c r="B161" t="s">
        <v>753</v>
      </c>
      <c r="C161" t="s">
        <v>10</v>
      </c>
      <c r="D161" t="s">
        <v>39</v>
      </c>
      <c r="E161" t="s">
        <v>33</v>
      </c>
      <c r="F161" t="s">
        <v>110</v>
      </c>
      <c r="G161">
        <v>30</v>
      </c>
      <c r="H161" t="s">
        <v>728</v>
      </c>
      <c r="I161">
        <v>-0.56611722707748413</v>
      </c>
      <c r="J161">
        <v>4.6464964747428894E-2</v>
      </c>
      <c r="L161">
        <v>0</v>
      </c>
      <c r="O161" t="s">
        <v>40</v>
      </c>
      <c r="P161">
        <v>1</v>
      </c>
      <c r="Q161">
        <v>1000000</v>
      </c>
      <c r="R161">
        <v>1000000</v>
      </c>
      <c r="S161">
        <f t="shared" si="34"/>
        <v>0</v>
      </c>
      <c r="T161">
        <f t="shared" si="35"/>
        <v>1</v>
      </c>
      <c r="U161">
        <f t="shared" si="27"/>
        <v>0</v>
      </c>
      <c r="V161">
        <v>0</v>
      </c>
      <c r="W161">
        <f t="shared" si="28"/>
        <v>0</v>
      </c>
      <c r="X161">
        <f t="shared" si="29"/>
        <v>0</v>
      </c>
      <c r="Y161">
        <f t="shared" si="30"/>
        <v>0</v>
      </c>
      <c r="Z161">
        <f t="shared" si="31"/>
        <v>0</v>
      </c>
      <c r="AA161">
        <f t="shared" si="36"/>
        <v>0</v>
      </c>
      <c r="AB161">
        <f t="shared" si="37"/>
        <v>0</v>
      </c>
      <c r="AC161">
        <f t="shared" si="38"/>
        <v>0</v>
      </c>
      <c r="AD161">
        <f t="shared" si="32"/>
        <v>0</v>
      </c>
      <c r="AE161">
        <f t="shared" si="33"/>
        <v>0</v>
      </c>
      <c r="AF161">
        <f t="shared" si="26"/>
        <v>1000000</v>
      </c>
    </row>
    <row r="162" spans="1:32" x14ac:dyDescent="0.35">
      <c r="A162" s="1">
        <v>0</v>
      </c>
      <c r="B162" t="s">
        <v>753</v>
      </c>
      <c r="C162" t="s">
        <v>10</v>
      </c>
      <c r="D162" t="s">
        <v>39</v>
      </c>
      <c r="E162" t="s">
        <v>33</v>
      </c>
      <c r="F162" t="s">
        <v>110</v>
      </c>
      <c r="G162">
        <v>30</v>
      </c>
      <c r="H162" t="s">
        <v>728</v>
      </c>
      <c r="I162">
        <v>-0.56611722707748413</v>
      </c>
      <c r="J162">
        <v>4.6464964747428894E-2</v>
      </c>
      <c r="L162">
        <v>0</v>
      </c>
      <c r="O162" t="s">
        <v>151</v>
      </c>
      <c r="P162">
        <v>1</v>
      </c>
      <c r="Q162">
        <v>461720</v>
      </c>
      <c r="R162">
        <v>461720</v>
      </c>
      <c r="S162">
        <f t="shared" si="34"/>
        <v>0</v>
      </c>
      <c r="T162">
        <f t="shared" si="35"/>
        <v>1</v>
      </c>
      <c r="U162">
        <f t="shared" si="27"/>
        <v>0</v>
      </c>
      <c r="V162">
        <v>0</v>
      </c>
      <c r="W162">
        <f t="shared" si="28"/>
        <v>0</v>
      </c>
      <c r="X162">
        <f t="shared" si="29"/>
        <v>0</v>
      </c>
      <c r="Y162">
        <f t="shared" si="30"/>
        <v>0</v>
      </c>
      <c r="Z162">
        <f t="shared" si="31"/>
        <v>0</v>
      </c>
      <c r="AA162">
        <f t="shared" si="36"/>
        <v>0</v>
      </c>
      <c r="AB162">
        <f t="shared" si="37"/>
        <v>0</v>
      </c>
      <c r="AC162">
        <f t="shared" si="38"/>
        <v>0</v>
      </c>
      <c r="AD162">
        <f t="shared" si="32"/>
        <v>0</v>
      </c>
      <c r="AE162">
        <f t="shared" si="33"/>
        <v>0</v>
      </c>
      <c r="AF162">
        <f t="shared" si="26"/>
        <v>461720</v>
      </c>
    </row>
    <row r="163" spans="1:32" x14ac:dyDescent="0.35">
      <c r="A163" s="1">
        <v>0</v>
      </c>
      <c r="B163" t="s">
        <v>642</v>
      </c>
      <c r="C163" t="s">
        <v>10</v>
      </c>
      <c r="D163" t="s">
        <v>39</v>
      </c>
      <c r="E163" t="s">
        <v>39</v>
      </c>
      <c r="F163" t="s">
        <v>36</v>
      </c>
      <c r="G163">
        <v>32</v>
      </c>
      <c r="H163" t="s">
        <v>643</v>
      </c>
      <c r="I163">
        <v>-0.14314869046211243</v>
      </c>
      <c r="J163">
        <v>4.3546851724386215E-2</v>
      </c>
      <c r="L163">
        <v>0</v>
      </c>
      <c r="O163" t="s">
        <v>151</v>
      </c>
      <c r="P163">
        <v>1</v>
      </c>
      <c r="Q163">
        <v>958065</v>
      </c>
      <c r="R163">
        <v>958065</v>
      </c>
      <c r="S163">
        <f t="shared" si="34"/>
        <v>0</v>
      </c>
      <c r="T163">
        <f t="shared" si="35"/>
        <v>1</v>
      </c>
      <c r="U163">
        <f t="shared" si="27"/>
        <v>0</v>
      </c>
      <c r="V163">
        <v>0</v>
      </c>
      <c r="W163">
        <f t="shared" si="28"/>
        <v>0</v>
      </c>
      <c r="X163">
        <f t="shared" si="29"/>
        <v>0</v>
      </c>
      <c r="Y163">
        <f t="shared" si="30"/>
        <v>0</v>
      </c>
      <c r="Z163">
        <f t="shared" si="31"/>
        <v>0</v>
      </c>
      <c r="AA163">
        <f t="shared" si="36"/>
        <v>0</v>
      </c>
      <c r="AB163">
        <f t="shared" si="37"/>
        <v>0</v>
      </c>
      <c r="AC163">
        <f t="shared" si="38"/>
        <v>0</v>
      </c>
      <c r="AD163">
        <f t="shared" si="32"/>
        <v>0</v>
      </c>
      <c r="AE163">
        <f t="shared" si="33"/>
        <v>0</v>
      </c>
      <c r="AF163">
        <f t="shared" si="26"/>
        <v>958065</v>
      </c>
    </row>
    <row r="164" spans="1:32" x14ac:dyDescent="0.35">
      <c r="A164" s="1">
        <v>0</v>
      </c>
      <c r="B164" t="s">
        <v>318</v>
      </c>
      <c r="C164" t="s">
        <v>9</v>
      </c>
      <c r="D164" t="s">
        <v>39</v>
      </c>
      <c r="E164" t="s">
        <v>39</v>
      </c>
      <c r="F164" t="s">
        <v>56</v>
      </c>
      <c r="G164">
        <v>31</v>
      </c>
      <c r="H164" t="s">
        <v>319</v>
      </c>
      <c r="I164">
        <v>0.6643909215927124</v>
      </c>
      <c r="J164">
        <v>3.1041212379932404E-2</v>
      </c>
      <c r="L164">
        <v>0</v>
      </c>
      <c r="O164" t="s">
        <v>97</v>
      </c>
      <c r="P164">
        <v>1</v>
      </c>
      <c r="Q164">
        <v>1250000</v>
      </c>
      <c r="R164">
        <v>1250000</v>
      </c>
      <c r="S164">
        <f t="shared" si="34"/>
        <v>0</v>
      </c>
      <c r="T164">
        <f t="shared" si="35"/>
        <v>0</v>
      </c>
      <c r="U164">
        <f t="shared" si="27"/>
        <v>1</v>
      </c>
      <c r="V164">
        <v>0</v>
      </c>
      <c r="W164">
        <f t="shared" si="28"/>
        <v>0</v>
      </c>
      <c r="X164">
        <f t="shared" si="29"/>
        <v>0</v>
      </c>
      <c r="Y164">
        <f t="shared" si="30"/>
        <v>0</v>
      </c>
      <c r="Z164">
        <f t="shared" si="31"/>
        <v>0</v>
      </c>
      <c r="AA164">
        <f t="shared" si="36"/>
        <v>0</v>
      </c>
      <c r="AB164">
        <f t="shared" si="37"/>
        <v>0</v>
      </c>
      <c r="AC164">
        <f t="shared" si="38"/>
        <v>0</v>
      </c>
      <c r="AD164">
        <f t="shared" si="32"/>
        <v>0</v>
      </c>
      <c r="AE164">
        <f t="shared" si="33"/>
        <v>0</v>
      </c>
      <c r="AF164">
        <f t="shared" si="26"/>
        <v>1250000</v>
      </c>
    </row>
    <row r="165" spans="1:32" x14ac:dyDescent="0.35">
      <c r="A165" s="1">
        <v>0</v>
      </c>
      <c r="B165" t="s">
        <v>636</v>
      </c>
      <c r="C165" t="s">
        <v>10</v>
      </c>
      <c r="D165" t="s">
        <v>39</v>
      </c>
      <c r="E165" t="s">
        <v>39</v>
      </c>
      <c r="F165" t="s">
        <v>151</v>
      </c>
      <c r="G165">
        <v>34</v>
      </c>
      <c r="H165" t="s">
        <v>637</v>
      </c>
      <c r="I165">
        <v>-0.12141888588666916</v>
      </c>
      <c r="J165">
        <v>2.2805720567703247E-2</v>
      </c>
      <c r="L165">
        <v>0</v>
      </c>
      <c r="O165" t="s">
        <v>151</v>
      </c>
      <c r="P165">
        <v>1</v>
      </c>
      <c r="Q165">
        <v>185484</v>
      </c>
      <c r="R165">
        <v>185484</v>
      </c>
      <c r="S165">
        <f t="shared" si="34"/>
        <v>0</v>
      </c>
      <c r="T165">
        <f t="shared" si="35"/>
        <v>1</v>
      </c>
      <c r="U165">
        <f t="shared" si="27"/>
        <v>0</v>
      </c>
      <c r="V165">
        <v>0</v>
      </c>
      <c r="W165">
        <f t="shared" si="28"/>
        <v>0</v>
      </c>
      <c r="X165">
        <f t="shared" si="29"/>
        <v>0</v>
      </c>
      <c r="Y165">
        <f t="shared" si="30"/>
        <v>0</v>
      </c>
      <c r="Z165">
        <f t="shared" si="31"/>
        <v>0</v>
      </c>
      <c r="AA165">
        <f t="shared" si="36"/>
        <v>0</v>
      </c>
      <c r="AB165">
        <f t="shared" si="37"/>
        <v>0</v>
      </c>
      <c r="AC165">
        <f t="shared" si="38"/>
        <v>0</v>
      </c>
      <c r="AD165">
        <f t="shared" si="32"/>
        <v>0</v>
      </c>
      <c r="AE165">
        <f t="shared" si="33"/>
        <v>0</v>
      </c>
      <c r="AF165">
        <f t="shared" si="26"/>
        <v>185484</v>
      </c>
    </row>
    <row r="166" spans="1:32" x14ac:dyDescent="0.35">
      <c r="A166" s="1">
        <v>0</v>
      </c>
      <c r="B166" t="s">
        <v>791</v>
      </c>
      <c r="C166" t="s">
        <v>32</v>
      </c>
      <c r="D166" t="s">
        <v>39</v>
      </c>
      <c r="E166" t="s">
        <v>39</v>
      </c>
      <c r="F166" t="s">
        <v>48</v>
      </c>
      <c r="G166">
        <v>36</v>
      </c>
      <c r="H166" t="s">
        <v>792</v>
      </c>
      <c r="I166">
        <v>-1.0200787782669067</v>
      </c>
      <c r="J166">
        <v>1.7001070082187653E-2</v>
      </c>
      <c r="K166">
        <v>1</v>
      </c>
      <c r="L166">
        <v>3000000</v>
      </c>
      <c r="M166">
        <v>3000000</v>
      </c>
      <c r="S166">
        <f t="shared" si="34"/>
        <v>0</v>
      </c>
      <c r="T166">
        <f t="shared" si="35"/>
        <v>0</v>
      </c>
      <c r="U166">
        <f t="shared" si="27"/>
        <v>0</v>
      </c>
      <c r="V166">
        <v>0</v>
      </c>
      <c r="W166">
        <f t="shared" si="28"/>
        <v>0</v>
      </c>
      <c r="X166">
        <f t="shared" si="29"/>
        <v>0</v>
      </c>
      <c r="Y166">
        <f t="shared" si="30"/>
        <v>0</v>
      </c>
      <c r="Z166">
        <f t="shared" si="31"/>
        <v>0</v>
      </c>
      <c r="AA166">
        <f t="shared" si="36"/>
        <v>1</v>
      </c>
      <c r="AB166">
        <f t="shared" si="37"/>
        <v>0</v>
      </c>
      <c r="AC166">
        <f t="shared" si="38"/>
        <v>1</v>
      </c>
      <c r="AD166">
        <f t="shared" si="32"/>
        <v>0</v>
      </c>
      <c r="AE166">
        <f t="shared" si="33"/>
        <v>0</v>
      </c>
      <c r="AF166">
        <f t="shared" si="26"/>
        <v>3000000</v>
      </c>
    </row>
    <row r="167" spans="1:32" x14ac:dyDescent="0.35">
      <c r="A167" s="1">
        <v>0</v>
      </c>
      <c r="B167" t="s">
        <v>465</v>
      </c>
      <c r="C167" t="s">
        <v>9</v>
      </c>
      <c r="D167" t="s">
        <v>39</v>
      </c>
      <c r="E167" t="s">
        <v>39</v>
      </c>
      <c r="F167" t="s">
        <v>86</v>
      </c>
      <c r="G167">
        <v>31</v>
      </c>
      <c r="H167" t="s">
        <v>466</v>
      </c>
      <c r="I167">
        <v>0.22867357730865479</v>
      </c>
      <c r="J167">
        <v>1.5004253014922142E-2</v>
      </c>
      <c r="L167">
        <v>0</v>
      </c>
      <c r="O167" t="s">
        <v>86</v>
      </c>
      <c r="P167">
        <v>1</v>
      </c>
      <c r="Q167">
        <v>1400000</v>
      </c>
      <c r="R167">
        <v>1400000</v>
      </c>
      <c r="S167">
        <f t="shared" si="34"/>
        <v>0</v>
      </c>
      <c r="T167">
        <f t="shared" si="35"/>
        <v>0</v>
      </c>
      <c r="U167">
        <f t="shared" si="27"/>
        <v>1</v>
      </c>
      <c r="V167">
        <v>0</v>
      </c>
      <c r="W167">
        <f t="shared" si="28"/>
        <v>0</v>
      </c>
      <c r="X167">
        <f t="shared" si="29"/>
        <v>0</v>
      </c>
      <c r="Y167">
        <f t="shared" si="30"/>
        <v>0</v>
      </c>
      <c r="Z167">
        <f t="shared" si="31"/>
        <v>0</v>
      </c>
      <c r="AA167">
        <f t="shared" si="36"/>
        <v>0</v>
      </c>
      <c r="AB167">
        <f t="shared" si="37"/>
        <v>0</v>
      </c>
      <c r="AC167">
        <f t="shared" si="38"/>
        <v>0</v>
      </c>
      <c r="AD167">
        <f t="shared" si="32"/>
        <v>0</v>
      </c>
      <c r="AE167">
        <f t="shared" si="33"/>
        <v>0</v>
      </c>
      <c r="AF167">
        <f t="shared" si="26"/>
        <v>1400000</v>
      </c>
    </row>
    <row r="168" spans="1:32" x14ac:dyDescent="0.35">
      <c r="A168" s="1">
        <v>0</v>
      </c>
      <c r="B168" t="s">
        <v>203</v>
      </c>
      <c r="C168" t="s">
        <v>10</v>
      </c>
      <c r="D168" t="s">
        <v>39</v>
      </c>
      <c r="E168" t="s">
        <v>39</v>
      </c>
      <c r="F168" t="s">
        <v>151</v>
      </c>
      <c r="G168">
        <v>30</v>
      </c>
      <c r="H168" t="s">
        <v>204</v>
      </c>
      <c r="I168">
        <v>1.3038595914840698</v>
      </c>
      <c r="J168">
        <v>1.2986434623599052E-2</v>
      </c>
      <c r="L168">
        <v>0</v>
      </c>
      <c r="O168" t="s">
        <v>104</v>
      </c>
      <c r="P168">
        <v>1</v>
      </c>
      <c r="Q168">
        <v>1225806</v>
      </c>
      <c r="R168">
        <v>1225806</v>
      </c>
      <c r="S168">
        <f t="shared" si="34"/>
        <v>0</v>
      </c>
      <c r="T168">
        <f t="shared" si="35"/>
        <v>1</v>
      </c>
      <c r="U168">
        <f t="shared" si="27"/>
        <v>0</v>
      </c>
      <c r="V168">
        <v>0</v>
      </c>
      <c r="W168">
        <f t="shared" si="28"/>
        <v>0</v>
      </c>
      <c r="X168">
        <f t="shared" si="29"/>
        <v>0</v>
      </c>
      <c r="Y168">
        <f t="shared" si="30"/>
        <v>0</v>
      </c>
      <c r="Z168">
        <f t="shared" si="31"/>
        <v>0</v>
      </c>
      <c r="AA168">
        <f t="shared" si="36"/>
        <v>0</v>
      </c>
      <c r="AB168">
        <f t="shared" si="37"/>
        <v>0</v>
      </c>
      <c r="AC168">
        <f t="shared" si="38"/>
        <v>0</v>
      </c>
      <c r="AD168">
        <f t="shared" si="32"/>
        <v>0</v>
      </c>
      <c r="AE168">
        <f t="shared" si="33"/>
        <v>0</v>
      </c>
      <c r="AF168">
        <f t="shared" si="26"/>
        <v>1225806</v>
      </c>
    </row>
    <row r="169" spans="1:32" x14ac:dyDescent="0.35">
      <c r="A169" s="1">
        <v>0</v>
      </c>
      <c r="B169" t="s">
        <v>833</v>
      </c>
      <c r="C169" t="s">
        <v>9</v>
      </c>
      <c r="D169" t="s">
        <v>39</v>
      </c>
      <c r="E169" t="s">
        <v>39</v>
      </c>
      <c r="F169" t="s">
        <v>34</v>
      </c>
      <c r="G169">
        <v>33</v>
      </c>
      <c r="H169" t="s">
        <v>834</v>
      </c>
      <c r="J169">
        <v>9.6611501649022102E-3</v>
      </c>
      <c r="L169">
        <v>0</v>
      </c>
      <c r="O169" t="s">
        <v>42</v>
      </c>
      <c r="P169">
        <v>1</v>
      </c>
      <c r="Q169">
        <v>354839</v>
      </c>
      <c r="R169">
        <v>354839</v>
      </c>
      <c r="S169">
        <f t="shared" si="34"/>
        <v>0</v>
      </c>
      <c r="T169">
        <f t="shared" si="35"/>
        <v>0</v>
      </c>
      <c r="U169">
        <f t="shared" si="27"/>
        <v>1</v>
      </c>
      <c r="V169">
        <v>0</v>
      </c>
      <c r="W169">
        <f t="shared" si="28"/>
        <v>0</v>
      </c>
      <c r="X169">
        <f t="shared" si="29"/>
        <v>0</v>
      </c>
      <c r="Y169">
        <f t="shared" si="30"/>
        <v>0</v>
      </c>
      <c r="Z169">
        <f t="shared" si="31"/>
        <v>0</v>
      </c>
      <c r="AA169">
        <f t="shared" si="36"/>
        <v>0</v>
      </c>
      <c r="AB169">
        <f t="shared" si="37"/>
        <v>0</v>
      </c>
      <c r="AC169">
        <f t="shared" si="38"/>
        <v>0</v>
      </c>
      <c r="AD169">
        <f t="shared" si="32"/>
        <v>0</v>
      </c>
      <c r="AE169">
        <f t="shared" si="33"/>
        <v>0</v>
      </c>
      <c r="AF169">
        <f t="shared" si="26"/>
        <v>354839</v>
      </c>
    </row>
    <row r="170" spans="1:32" x14ac:dyDescent="0.35">
      <c r="A170" s="1">
        <v>0</v>
      </c>
      <c r="B170" t="s">
        <v>468</v>
      </c>
      <c r="C170" t="s">
        <v>9</v>
      </c>
      <c r="D170" t="s">
        <v>39</v>
      </c>
      <c r="E170" t="s">
        <v>39</v>
      </c>
      <c r="F170" t="s">
        <v>36</v>
      </c>
      <c r="G170">
        <v>31</v>
      </c>
      <c r="H170" t="s">
        <v>469</v>
      </c>
      <c r="I170">
        <v>0.22086203098297119</v>
      </c>
      <c r="J170">
        <v>1.290323561988771E-4</v>
      </c>
      <c r="K170">
        <v>1</v>
      </c>
      <c r="L170">
        <v>2000000</v>
      </c>
      <c r="M170">
        <v>2000000</v>
      </c>
      <c r="O170" t="s">
        <v>36</v>
      </c>
      <c r="P170">
        <v>1</v>
      </c>
      <c r="Q170">
        <v>1000000</v>
      </c>
      <c r="R170">
        <v>1000000</v>
      </c>
      <c r="S170">
        <f t="shared" si="34"/>
        <v>0</v>
      </c>
      <c r="T170">
        <f t="shared" si="35"/>
        <v>0</v>
      </c>
      <c r="U170">
        <f t="shared" si="27"/>
        <v>1</v>
      </c>
      <c r="V170">
        <v>0</v>
      </c>
      <c r="W170">
        <f t="shared" si="28"/>
        <v>0</v>
      </c>
      <c r="X170">
        <f t="shared" si="29"/>
        <v>0</v>
      </c>
      <c r="Y170">
        <f t="shared" si="30"/>
        <v>0</v>
      </c>
      <c r="Z170">
        <f t="shared" si="31"/>
        <v>0</v>
      </c>
      <c r="AA170">
        <f t="shared" si="36"/>
        <v>0</v>
      </c>
      <c r="AB170">
        <f t="shared" si="37"/>
        <v>0</v>
      </c>
      <c r="AC170">
        <f t="shared" si="38"/>
        <v>0</v>
      </c>
      <c r="AD170">
        <f t="shared" si="32"/>
        <v>0</v>
      </c>
      <c r="AE170">
        <f t="shared" si="33"/>
        <v>0</v>
      </c>
      <c r="AF170">
        <f t="shared" si="26"/>
        <v>2000000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D569-61A8-424D-A6B8-1B37CAF13510}">
  <sheetPr filterMode="1"/>
  <dimension ref="A1:Y283"/>
  <sheetViews>
    <sheetView topLeftCell="I1" workbookViewId="0">
      <selection activeCell="AE29" sqref="AE29"/>
    </sheetView>
  </sheetViews>
  <sheetFormatPr defaultRowHeight="14.5" x14ac:dyDescent="0.35"/>
  <cols>
    <col min="1" max="1" width="28.08984375" customWidth="1"/>
    <col min="9" max="9" width="17.1796875" customWidth="1"/>
    <col min="21" max="21" width="11.36328125" customWidth="1"/>
  </cols>
  <sheetData>
    <row r="1" spans="1:2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U1" t="s">
        <v>880</v>
      </c>
      <c r="V1" t="s">
        <v>887</v>
      </c>
    </row>
    <row r="2" spans="1:25" x14ac:dyDescent="0.35">
      <c r="A2" t="s">
        <v>12</v>
      </c>
      <c r="B2" t="s">
        <v>32</v>
      </c>
      <c r="C2" t="s">
        <v>33</v>
      </c>
      <c r="D2" t="s">
        <v>33</v>
      </c>
      <c r="E2" t="s">
        <v>34</v>
      </c>
      <c r="F2">
        <v>26</v>
      </c>
      <c r="G2" t="s">
        <v>35</v>
      </c>
      <c r="H2">
        <v>8.2910079956054688</v>
      </c>
      <c r="I2">
        <v>6.0155210494995117</v>
      </c>
      <c r="J2">
        <v>13</v>
      </c>
      <c r="K2">
        <v>585000000</v>
      </c>
      <c r="L2">
        <v>45000000</v>
      </c>
      <c r="M2">
        <v>21050000</v>
      </c>
      <c r="N2" t="s">
        <v>36</v>
      </c>
      <c r="O2">
        <v>15</v>
      </c>
      <c r="P2">
        <v>765000000</v>
      </c>
      <c r="Q2">
        <v>51000000</v>
      </c>
      <c r="S2" t="s">
        <v>37</v>
      </c>
      <c r="U2">
        <f>IF((L2="")*(Q2=""), 1, 0)</f>
        <v>0</v>
      </c>
      <c r="V2">
        <v>0</v>
      </c>
    </row>
    <row r="3" spans="1:25" hidden="1" x14ac:dyDescent="0.35">
      <c r="A3" t="s">
        <v>38</v>
      </c>
      <c r="B3" t="s">
        <v>4</v>
      </c>
      <c r="C3" t="s">
        <v>39</v>
      </c>
      <c r="D3" t="s">
        <v>39</v>
      </c>
      <c r="E3" t="s">
        <v>40</v>
      </c>
      <c r="F3">
        <v>29</v>
      </c>
      <c r="G3" t="s">
        <v>41</v>
      </c>
      <c r="H3">
        <v>4.8398399353027344</v>
      </c>
      <c r="I3">
        <v>3.691049337387085</v>
      </c>
      <c r="J3">
        <v>6</v>
      </c>
      <c r="K3">
        <v>150000000</v>
      </c>
      <c r="L3">
        <v>25000000</v>
      </c>
      <c r="M3">
        <v>21050000</v>
      </c>
      <c r="N3" t="s">
        <v>42</v>
      </c>
      <c r="O3">
        <v>7</v>
      </c>
      <c r="P3">
        <v>182000000</v>
      </c>
      <c r="Q3">
        <v>26000000</v>
      </c>
      <c r="S3" t="s">
        <v>43</v>
      </c>
      <c r="U3">
        <f t="shared" ref="U3:U66" si="0">IF((L3="")*(Q3=""), 1, 0)</f>
        <v>0</v>
      </c>
    </row>
    <row r="4" spans="1:25" hidden="1" x14ac:dyDescent="0.35">
      <c r="A4" t="s">
        <v>44</v>
      </c>
      <c r="B4" t="s">
        <v>5</v>
      </c>
      <c r="C4" t="s">
        <v>45</v>
      </c>
      <c r="D4" t="s">
        <v>39</v>
      </c>
      <c r="E4" t="s">
        <v>46</v>
      </c>
      <c r="F4">
        <v>32</v>
      </c>
      <c r="G4" t="s">
        <v>47</v>
      </c>
      <c r="H4">
        <v>4.3414421081542969</v>
      </c>
      <c r="I4">
        <v>1.8338626623153687</v>
      </c>
      <c r="J4">
        <v>3</v>
      </c>
      <c r="K4">
        <v>45000000</v>
      </c>
      <c r="L4">
        <v>15000000</v>
      </c>
      <c r="N4" t="s">
        <v>48</v>
      </c>
      <c r="O4">
        <v>3</v>
      </c>
      <c r="P4">
        <v>36000000</v>
      </c>
      <c r="Q4">
        <v>7000000</v>
      </c>
      <c r="S4" t="s">
        <v>49</v>
      </c>
      <c r="U4">
        <f t="shared" si="0"/>
        <v>0</v>
      </c>
    </row>
    <row r="5" spans="1:25" hidden="1" x14ac:dyDescent="0.35">
      <c r="A5" t="s">
        <v>50</v>
      </c>
      <c r="B5" t="s">
        <v>2</v>
      </c>
      <c r="C5" t="s">
        <v>39</v>
      </c>
      <c r="D5" t="s">
        <v>39</v>
      </c>
      <c r="E5" t="s">
        <v>51</v>
      </c>
      <c r="F5">
        <v>31</v>
      </c>
      <c r="G5" t="s">
        <v>52</v>
      </c>
      <c r="H5">
        <v>4.1558237075805664</v>
      </c>
      <c r="I5">
        <v>3.8823163509368896</v>
      </c>
      <c r="J5">
        <v>6</v>
      </c>
      <c r="K5">
        <v>162000000</v>
      </c>
      <c r="L5">
        <v>27000000</v>
      </c>
      <c r="M5">
        <v>21050000</v>
      </c>
      <c r="N5" t="s">
        <v>53</v>
      </c>
      <c r="O5">
        <v>3</v>
      </c>
      <c r="P5">
        <v>120000000</v>
      </c>
      <c r="Q5">
        <v>31701975</v>
      </c>
      <c r="S5" t="s">
        <v>54</v>
      </c>
      <c r="U5">
        <f t="shared" si="0"/>
        <v>0</v>
      </c>
    </row>
    <row r="6" spans="1:25" x14ac:dyDescent="0.35">
      <c r="A6" t="s">
        <v>55</v>
      </c>
      <c r="B6" t="s">
        <v>10</v>
      </c>
      <c r="C6" t="s">
        <v>39</v>
      </c>
      <c r="D6" t="s">
        <v>39</v>
      </c>
      <c r="E6" t="s">
        <v>56</v>
      </c>
      <c r="F6">
        <v>30</v>
      </c>
      <c r="G6" t="s">
        <v>57</v>
      </c>
      <c r="H6">
        <v>3.8361482620239258</v>
      </c>
      <c r="I6">
        <v>3.6227576732635498</v>
      </c>
      <c r="J6">
        <v>6</v>
      </c>
      <c r="K6">
        <v>180000000</v>
      </c>
      <c r="L6">
        <v>30000000</v>
      </c>
      <c r="M6">
        <v>21050000</v>
      </c>
      <c r="N6" t="s">
        <v>58</v>
      </c>
      <c r="O6">
        <v>6</v>
      </c>
      <c r="P6">
        <v>210000000</v>
      </c>
      <c r="Q6">
        <v>33041322</v>
      </c>
      <c r="S6" t="s">
        <v>59</v>
      </c>
      <c r="U6">
        <f t="shared" si="0"/>
        <v>0</v>
      </c>
      <c r="V6">
        <v>0</v>
      </c>
    </row>
    <row r="7" spans="1:25" x14ac:dyDescent="0.35">
      <c r="A7" t="s">
        <v>88</v>
      </c>
      <c r="B7" t="s">
        <v>10</v>
      </c>
      <c r="C7" t="s">
        <v>33</v>
      </c>
      <c r="D7" t="s">
        <v>33</v>
      </c>
      <c r="E7" t="s">
        <v>42</v>
      </c>
      <c r="F7">
        <v>32</v>
      </c>
      <c r="G7" t="s">
        <v>89</v>
      </c>
      <c r="H7">
        <v>3.0745391845703125</v>
      </c>
      <c r="I7">
        <v>3.4065380096435547</v>
      </c>
      <c r="J7">
        <v>4</v>
      </c>
      <c r="K7">
        <v>120000000</v>
      </c>
      <c r="L7">
        <v>30000000</v>
      </c>
      <c r="N7" t="s">
        <v>66</v>
      </c>
      <c r="O7">
        <v>5</v>
      </c>
      <c r="P7">
        <v>182000000</v>
      </c>
      <c r="Q7">
        <v>31357257</v>
      </c>
      <c r="S7" t="s">
        <v>90</v>
      </c>
      <c r="U7">
        <f t="shared" si="0"/>
        <v>0</v>
      </c>
      <c r="V7">
        <v>0</v>
      </c>
    </row>
    <row r="8" spans="1:25" x14ac:dyDescent="0.35">
      <c r="A8" t="s">
        <v>73</v>
      </c>
      <c r="B8" t="s">
        <v>10</v>
      </c>
      <c r="C8" t="s">
        <v>33</v>
      </c>
      <c r="D8" t="s">
        <v>33</v>
      </c>
      <c r="E8" t="s">
        <v>48</v>
      </c>
      <c r="F8">
        <v>31</v>
      </c>
      <c r="G8" t="s">
        <v>74</v>
      </c>
      <c r="H8">
        <v>3.3708357810974121</v>
      </c>
      <c r="I8">
        <v>3.2881619930267334</v>
      </c>
      <c r="J8">
        <v>5</v>
      </c>
      <c r="K8">
        <v>125000000</v>
      </c>
      <c r="L8">
        <v>25000000</v>
      </c>
      <c r="M8">
        <v>21050000</v>
      </c>
      <c r="N8" t="s">
        <v>34</v>
      </c>
      <c r="O8">
        <v>8</v>
      </c>
      <c r="P8">
        <v>218000000</v>
      </c>
      <c r="Q8">
        <v>27250000</v>
      </c>
      <c r="S8" t="s">
        <v>75</v>
      </c>
      <c r="U8">
        <f t="shared" si="0"/>
        <v>0</v>
      </c>
      <c r="V8">
        <v>0</v>
      </c>
    </row>
    <row r="9" spans="1:25" x14ac:dyDescent="0.35">
      <c r="A9" t="s">
        <v>60</v>
      </c>
      <c r="B9" t="s">
        <v>10</v>
      </c>
      <c r="C9" t="s">
        <v>33</v>
      </c>
      <c r="D9" t="s">
        <v>33</v>
      </c>
      <c r="E9" t="s">
        <v>51</v>
      </c>
      <c r="F9">
        <v>34</v>
      </c>
      <c r="G9" t="s">
        <v>61</v>
      </c>
      <c r="H9">
        <v>3.6429600715637207</v>
      </c>
      <c r="I9">
        <v>2.9929993152618408</v>
      </c>
      <c r="J9">
        <v>3</v>
      </c>
      <c r="K9">
        <v>54000000</v>
      </c>
      <c r="L9">
        <v>18000000</v>
      </c>
      <c r="N9" t="s">
        <v>62</v>
      </c>
      <c r="O9">
        <v>3</v>
      </c>
      <c r="P9">
        <v>63000000</v>
      </c>
      <c r="Q9">
        <v>21000000</v>
      </c>
      <c r="S9" t="s">
        <v>63</v>
      </c>
      <c r="U9">
        <f t="shared" si="0"/>
        <v>0</v>
      </c>
      <c r="V9">
        <v>0</v>
      </c>
      <c r="Y9" t="s">
        <v>881</v>
      </c>
    </row>
    <row r="10" spans="1:25" x14ac:dyDescent="0.35">
      <c r="A10" t="s">
        <v>112</v>
      </c>
      <c r="B10" t="s">
        <v>10</v>
      </c>
      <c r="C10" t="s">
        <v>39</v>
      </c>
      <c r="D10" t="s">
        <v>39</v>
      </c>
      <c r="E10" t="s">
        <v>97</v>
      </c>
      <c r="F10">
        <v>35</v>
      </c>
      <c r="G10" t="s">
        <v>113</v>
      </c>
      <c r="H10">
        <v>2.6279804706573486</v>
      </c>
      <c r="I10">
        <v>2.863853931427002</v>
      </c>
      <c r="J10">
        <v>3</v>
      </c>
      <c r="K10">
        <v>60000000</v>
      </c>
      <c r="L10">
        <v>20000000</v>
      </c>
      <c r="N10" t="s">
        <v>97</v>
      </c>
      <c r="O10">
        <v>3</v>
      </c>
      <c r="P10">
        <v>75000000</v>
      </c>
      <c r="Q10">
        <v>25000000</v>
      </c>
      <c r="S10" t="s">
        <v>114</v>
      </c>
      <c r="U10">
        <f t="shared" si="0"/>
        <v>0</v>
      </c>
      <c r="V10">
        <v>0</v>
      </c>
      <c r="Y10" t="s">
        <v>882</v>
      </c>
    </row>
    <row r="11" spans="1:25" x14ac:dyDescent="0.35">
      <c r="A11" t="s">
        <v>76</v>
      </c>
      <c r="B11" t="s">
        <v>10</v>
      </c>
      <c r="C11" t="s">
        <v>39</v>
      </c>
      <c r="D11" t="s">
        <v>39</v>
      </c>
      <c r="E11" t="s">
        <v>66</v>
      </c>
      <c r="F11">
        <v>29</v>
      </c>
      <c r="G11" t="s">
        <v>77</v>
      </c>
      <c r="H11">
        <v>3.3211297988891602</v>
      </c>
      <c r="I11">
        <v>2.5394833087921143</v>
      </c>
      <c r="J11">
        <v>4</v>
      </c>
      <c r="K11">
        <v>88000000</v>
      </c>
      <c r="L11">
        <v>22000000</v>
      </c>
      <c r="N11" t="s">
        <v>78</v>
      </c>
      <c r="O11">
        <v>2</v>
      </c>
      <c r="P11">
        <v>45000000</v>
      </c>
      <c r="Q11">
        <v>22500000</v>
      </c>
      <c r="S11" t="s">
        <v>79</v>
      </c>
      <c r="U11">
        <f t="shared" si="0"/>
        <v>0</v>
      </c>
      <c r="V11">
        <v>0</v>
      </c>
      <c r="Y11" t="s">
        <v>883</v>
      </c>
    </row>
    <row r="12" spans="1:25" x14ac:dyDescent="0.35">
      <c r="A12" t="s">
        <v>84</v>
      </c>
      <c r="B12" t="s">
        <v>65</v>
      </c>
      <c r="C12" t="s">
        <v>45</v>
      </c>
      <c r="D12" t="s">
        <v>39</v>
      </c>
      <c r="E12" t="s">
        <v>56</v>
      </c>
      <c r="F12">
        <v>30</v>
      </c>
      <c r="G12" t="s">
        <v>85</v>
      </c>
      <c r="H12">
        <v>3.2152910232543945</v>
      </c>
      <c r="I12">
        <v>2.4824109077453613</v>
      </c>
      <c r="J12">
        <v>4</v>
      </c>
      <c r="K12">
        <v>80000000</v>
      </c>
      <c r="L12">
        <v>20000000</v>
      </c>
      <c r="M12">
        <v>21050000</v>
      </c>
      <c r="N12" t="s">
        <v>86</v>
      </c>
      <c r="O12">
        <v>5</v>
      </c>
      <c r="P12">
        <v>92500000</v>
      </c>
      <c r="Q12">
        <v>14314441</v>
      </c>
      <c r="S12" t="s">
        <v>87</v>
      </c>
      <c r="U12">
        <f t="shared" si="0"/>
        <v>0</v>
      </c>
      <c r="V12">
        <v>0</v>
      </c>
      <c r="Y12" t="s">
        <v>884</v>
      </c>
    </row>
    <row r="13" spans="1:25" x14ac:dyDescent="0.35">
      <c r="A13" t="s">
        <v>137</v>
      </c>
      <c r="B13" t="s">
        <v>10</v>
      </c>
      <c r="C13" t="s">
        <v>39</v>
      </c>
      <c r="D13" t="s">
        <v>39</v>
      </c>
      <c r="E13" t="s">
        <v>53</v>
      </c>
      <c r="F13">
        <v>32</v>
      </c>
      <c r="G13" t="s">
        <v>138</v>
      </c>
      <c r="H13">
        <v>2.0111303329467773</v>
      </c>
      <c r="I13">
        <v>2.3676526546478271</v>
      </c>
      <c r="J13">
        <v>3</v>
      </c>
      <c r="K13">
        <v>45000000</v>
      </c>
      <c r="L13">
        <v>15000000</v>
      </c>
      <c r="M13">
        <v>21050000</v>
      </c>
      <c r="N13" t="s">
        <v>46</v>
      </c>
      <c r="O13">
        <v>4</v>
      </c>
      <c r="P13">
        <v>55000000</v>
      </c>
      <c r="Q13">
        <v>13750000</v>
      </c>
      <c r="S13" t="s">
        <v>139</v>
      </c>
      <c r="U13">
        <f t="shared" si="0"/>
        <v>0</v>
      </c>
      <c r="V13">
        <v>0</v>
      </c>
      <c r="Y13" t="s">
        <v>886</v>
      </c>
    </row>
    <row r="14" spans="1:25" x14ac:dyDescent="0.35">
      <c r="A14" t="s">
        <v>64</v>
      </c>
      <c r="B14" t="s">
        <v>65</v>
      </c>
      <c r="C14" t="s">
        <v>39</v>
      </c>
      <c r="D14" t="s">
        <v>39</v>
      </c>
      <c r="E14" t="s">
        <v>66</v>
      </c>
      <c r="F14">
        <v>32</v>
      </c>
      <c r="G14" t="s">
        <v>67</v>
      </c>
      <c r="H14">
        <v>3.4158172607421875</v>
      </c>
      <c r="I14">
        <v>2.2135863304138184</v>
      </c>
      <c r="J14">
        <v>3</v>
      </c>
      <c r="K14">
        <v>69000000</v>
      </c>
      <c r="L14">
        <v>23000000</v>
      </c>
      <c r="M14">
        <v>21050000</v>
      </c>
      <c r="N14" t="s">
        <v>66</v>
      </c>
      <c r="O14">
        <v>3</v>
      </c>
      <c r="P14">
        <v>66000000</v>
      </c>
      <c r="Q14">
        <v>19957137</v>
      </c>
      <c r="S14" t="s">
        <v>68</v>
      </c>
      <c r="U14">
        <f t="shared" si="0"/>
        <v>0</v>
      </c>
      <c r="V14">
        <v>0</v>
      </c>
      <c r="Y14" t="s">
        <v>888</v>
      </c>
    </row>
    <row r="15" spans="1:25" hidden="1" x14ac:dyDescent="0.35">
      <c r="A15" t="s">
        <v>91</v>
      </c>
      <c r="B15" t="s">
        <v>0</v>
      </c>
      <c r="C15" t="s">
        <v>39</v>
      </c>
      <c r="D15" t="s">
        <v>39</v>
      </c>
      <c r="E15" t="s">
        <v>58</v>
      </c>
      <c r="F15">
        <v>34</v>
      </c>
      <c r="G15" t="s">
        <v>92</v>
      </c>
      <c r="H15">
        <v>3.0535242557525635</v>
      </c>
      <c r="I15">
        <v>2.8159868717193604</v>
      </c>
      <c r="J15">
        <v>3</v>
      </c>
      <c r="K15">
        <v>54000000</v>
      </c>
      <c r="L15">
        <v>18000000</v>
      </c>
      <c r="M15">
        <v>21050000</v>
      </c>
      <c r="N15" t="s">
        <v>51</v>
      </c>
      <c r="O15">
        <v>3</v>
      </c>
      <c r="P15">
        <v>60000000</v>
      </c>
      <c r="Q15">
        <v>20000000</v>
      </c>
      <c r="S15" t="s">
        <v>93</v>
      </c>
      <c r="U15">
        <f t="shared" si="0"/>
        <v>0</v>
      </c>
    </row>
    <row r="16" spans="1:25" x14ac:dyDescent="0.35">
      <c r="A16" t="s">
        <v>215</v>
      </c>
      <c r="B16" t="s">
        <v>10</v>
      </c>
      <c r="C16" t="s">
        <v>39</v>
      </c>
      <c r="D16" t="s">
        <v>39</v>
      </c>
      <c r="E16" t="s">
        <v>34</v>
      </c>
      <c r="F16">
        <v>32</v>
      </c>
      <c r="G16" t="s">
        <v>216</v>
      </c>
      <c r="H16">
        <v>1.1604137420654297</v>
      </c>
      <c r="I16">
        <v>2.1516938209533691</v>
      </c>
      <c r="J16">
        <v>2</v>
      </c>
      <c r="K16">
        <v>20000000</v>
      </c>
      <c r="L16">
        <v>10000000</v>
      </c>
      <c r="N16" t="s">
        <v>36</v>
      </c>
      <c r="O16">
        <v>3</v>
      </c>
      <c r="P16">
        <v>38000000</v>
      </c>
      <c r="Q16">
        <v>12666666.66666667</v>
      </c>
      <c r="S16" t="s">
        <v>217</v>
      </c>
      <c r="U16">
        <f t="shared" si="0"/>
        <v>0</v>
      </c>
      <c r="V16">
        <v>0</v>
      </c>
      <c r="Y16" t="s">
        <v>889</v>
      </c>
    </row>
    <row r="17" spans="1:22" hidden="1" x14ac:dyDescent="0.35">
      <c r="A17" t="s">
        <v>99</v>
      </c>
      <c r="B17" t="s">
        <v>0</v>
      </c>
      <c r="C17" t="s">
        <v>45</v>
      </c>
      <c r="D17" t="s">
        <v>39</v>
      </c>
      <c r="E17" t="s">
        <v>100</v>
      </c>
      <c r="F17">
        <v>39</v>
      </c>
      <c r="G17" t="s">
        <v>101</v>
      </c>
      <c r="H17">
        <v>2.9265904426574707</v>
      </c>
      <c r="I17">
        <v>1.3004975318908691</v>
      </c>
      <c r="J17">
        <v>1</v>
      </c>
      <c r="K17">
        <v>7000000</v>
      </c>
      <c r="L17">
        <v>7000000</v>
      </c>
      <c r="N17" t="s">
        <v>102</v>
      </c>
      <c r="O17">
        <v>1</v>
      </c>
      <c r="P17">
        <v>12000000</v>
      </c>
      <c r="Q17">
        <v>12000000</v>
      </c>
      <c r="S17" t="s">
        <v>103</v>
      </c>
      <c r="U17">
        <f t="shared" si="0"/>
        <v>0</v>
      </c>
    </row>
    <row r="18" spans="1:22" hidden="1" x14ac:dyDescent="0.35">
      <c r="A18" t="s">
        <v>99</v>
      </c>
      <c r="B18" t="s">
        <v>0</v>
      </c>
      <c r="C18" t="s">
        <v>45</v>
      </c>
      <c r="D18" t="s">
        <v>39</v>
      </c>
      <c r="E18" t="s">
        <v>100</v>
      </c>
      <c r="F18">
        <v>39</v>
      </c>
      <c r="G18" t="s">
        <v>101</v>
      </c>
      <c r="H18">
        <v>2.9265904426574707</v>
      </c>
      <c r="I18">
        <v>1.3004975318908691</v>
      </c>
      <c r="J18">
        <v>1</v>
      </c>
      <c r="K18">
        <v>7000000</v>
      </c>
      <c r="L18">
        <v>7000000</v>
      </c>
      <c r="N18" t="s">
        <v>104</v>
      </c>
      <c r="O18">
        <v>1</v>
      </c>
      <c r="P18">
        <v>114409</v>
      </c>
      <c r="Q18">
        <v>114409</v>
      </c>
      <c r="S18" t="s">
        <v>103</v>
      </c>
      <c r="U18">
        <f t="shared" si="0"/>
        <v>0</v>
      </c>
    </row>
    <row r="19" spans="1:22" x14ac:dyDescent="0.35">
      <c r="A19" t="s">
        <v>80</v>
      </c>
      <c r="B19" t="s">
        <v>10</v>
      </c>
      <c r="C19" t="s">
        <v>39</v>
      </c>
      <c r="D19" t="s">
        <v>39</v>
      </c>
      <c r="E19" t="s">
        <v>81</v>
      </c>
      <c r="F19">
        <v>33</v>
      </c>
      <c r="G19" t="s">
        <v>82</v>
      </c>
      <c r="H19">
        <v>3.3198311328887939</v>
      </c>
      <c r="I19">
        <v>2.1513991355895996</v>
      </c>
      <c r="J19">
        <v>3</v>
      </c>
      <c r="K19">
        <v>54000000</v>
      </c>
      <c r="L19">
        <v>18000000</v>
      </c>
      <c r="N19" t="s">
        <v>81</v>
      </c>
      <c r="O19">
        <v>3</v>
      </c>
      <c r="P19">
        <v>51000000</v>
      </c>
      <c r="Q19">
        <v>17000000</v>
      </c>
      <c r="S19" t="s">
        <v>83</v>
      </c>
      <c r="U19">
        <f t="shared" si="0"/>
        <v>0</v>
      </c>
      <c r="V19">
        <v>0</v>
      </c>
    </row>
    <row r="20" spans="1:22" hidden="1" x14ac:dyDescent="0.35">
      <c r="A20" t="s">
        <v>108</v>
      </c>
      <c r="B20" t="s">
        <v>4</v>
      </c>
      <c r="C20" t="s">
        <v>39</v>
      </c>
      <c r="D20" t="s">
        <v>39</v>
      </c>
      <c r="E20" t="s">
        <v>46</v>
      </c>
      <c r="F20">
        <v>29</v>
      </c>
      <c r="G20" t="s">
        <v>109</v>
      </c>
      <c r="H20">
        <v>2.6300108432769775</v>
      </c>
      <c r="I20">
        <v>2.3463699817657471</v>
      </c>
      <c r="J20">
        <v>4</v>
      </c>
      <c r="K20">
        <v>73520000</v>
      </c>
      <c r="L20">
        <v>18380000</v>
      </c>
      <c r="N20" t="s">
        <v>110</v>
      </c>
      <c r="O20">
        <v>2</v>
      </c>
      <c r="P20">
        <v>29000000</v>
      </c>
      <c r="Q20">
        <v>14500000</v>
      </c>
      <c r="S20" t="s">
        <v>111</v>
      </c>
      <c r="U20">
        <f t="shared" si="0"/>
        <v>0</v>
      </c>
    </row>
    <row r="21" spans="1:22" x14ac:dyDescent="0.35">
      <c r="A21" t="s">
        <v>337</v>
      </c>
      <c r="B21" t="s">
        <v>10</v>
      </c>
      <c r="C21" t="s">
        <v>39</v>
      </c>
      <c r="D21" t="s">
        <v>39</v>
      </c>
      <c r="E21" t="s">
        <v>97</v>
      </c>
      <c r="F21">
        <v>40</v>
      </c>
      <c r="G21" t="s">
        <v>338</v>
      </c>
      <c r="H21">
        <v>0.60618424415588379</v>
      </c>
      <c r="I21">
        <v>1.9847042560577393</v>
      </c>
      <c r="J21">
        <v>1</v>
      </c>
      <c r="K21">
        <v>18000000</v>
      </c>
      <c r="L21">
        <v>18000000</v>
      </c>
      <c r="N21" t="s">
        <v>86</v>
      </c>
      <c r="O21">
        <v>1</v>
      </c>
      <c r="P21">
        <v>15500000</v>
      </c>
      <c r="Q21">
        <v>15500000</v>
      </c>
      <c r="S21" t="s">
        <v>339</v>
      </c>
      <c r="U21">
        <f t="shared" si="0"/>
        <v>0</v>
      </c>
      <c r="V21">
        <v>0</v>
      </c>
    </row>
    <row r="22" spans="1:22" x14ac:dyDescent="0.35">
      <c r="A22" t="s">
        <v>105</v>
      </c>
      <c r="B22" t="s">
        <v>10</v>
      </c>
      <c r="C22" t="s">
        <v>39</v>
      </c>
      <c r="D22" t="s">
        <v>33</v>
      </c>
      <c r="E22" t="s">
        <v>36</v>
      </c>
      <c r="F22">
        <v>33</v>
      </c>
      <c r="G22" t="s">
        <v>106</v>
      </c>
      <c r="H22">
        <v>2.7818140983581543</v>
      </c>
      <c r="I22">
        <v>1.8057085275650024</v>
      </c>
      <c r="J22">
        <v>3</v>
      </c>
      <c r="K22">
        <v>60000000</v>
      </c>
      <c r="L22">
        <v>20000000</v>
      </c>
      <c r="M22">
        <v>21050000</v>
      </c>
      <c r="N22" t="s">
        <v>36</v>
      </c>
      <c r="O22">
        <v>3</v>
      </c>
      <c r="P22">
        <v>75000000</v>
      </c>
      <c r="Q22">
        <v>22009731</v>
      </c>
      <c r="S22" t="s">
        <v>107</v>
      </c>
      <c r="U22">
        <f t="shared" si="0"/>
        <v>0</v>
      </c>
      <c r="V22">
        <v>0</v>
      </c>
    </row>
    <row r="23" spans="1:22" hidden="1" x14ac:dyDescent="0.35">
      <c r="A23" t="s">
        <v>119</v>
      </c>
      <c r="B23" t="s">
        <v>120</v>
      </c>
      <c r="C23" t="s">
        <v>39</v>
      </c>
      <c r="D23" t="s">
        <v>39</v>
      </c>
      <c r="E23" t="s">
        <v>36</v>
      </c>
      <c r="F23">
        <v>35</v>
      </c>
      <c r="G23" t="s">
        <v>121</v>
      </c>
      <c r="H23">
        <v>2.5375397205352783</v>
      </c>
      <c r="I23">
        <v>0.7187570333480835</v>
      </c>
      <c r="K23">
        <v>0</v>
      </c>
      <c r="N23" t="s">
        <v>46</v>
      </c>
      <c r="O23">
        <v>1</v>
      </c>
      <c r="P23">
        <v>3000000</v>
      </c>
      <c r="Q23">
        <v>3000000</v>
      </c>
      <c r="S23" t="s">
        <v>122</v>
      </c>
      <c r="U23">
        <f t="shared" si="0"/>
        <v>0</v>
      </c>
    </row>
    <row r="24" spans="1:22" x14ac:dyDescent="0.35">
      <c r="A24" t="s">
        <v>69</v>
      </c>
      <c r="B24" t="s">
        <v>10</v>
      </c>
      <c r="C24" t="s">
        <v>33</v>
      </c>
      <c r="D24" t="s">
        <v>39</v>
      </c>
      <c r="E24" t="s">
        <v>70</v>
      </c>
      <c r="F24">
        <v>34</v>
      </c>
      <c r="G24" t="s">
        <v>71</v>
      </c>
      <c r="H24">
        <v>3.3970968723297119</v>
      </c>
      <c r="I24">
        <v>1.7099204063415527</v>
      </c>
      <c r="J24">
        <v>2</v>
      </c>
      <c r="K24">
        <v>32000000</v>
      </c>
      <c r="L24">
        <v>16000000</v>
      </c>
      <c r="M24">
        <v>21050000</v>
      </c>
      <c r="N24" t="s">
        <v>70</v>
      </c>
      <c r="O24">
        <v>1</v>
      </c>
      <c r="P24">
        <v>21050000</v>
      </c>
      <c r="Q24">
        <v>21050000</v>
      </c>
      <c r="S24" t="s">
        <v>72</v>
      </c>
      <c r="U24">
        <f t="shared" si="0"/>
        <v>0</v>
      </c>
      <c r="V24">
        <v>0</v>
      </c>
    </row>
    <row r="25" spans="1:22" x14ac:dyDescent="0.35">
      <c r="A25" t="s">
        <v>269</v>
      </c>
      <c r="B25" t="s">
        <v>10</v>
      </c>
      <c r="C25" t="s">
        <v>33</v>
      </c>
      <c r="D25" t="s">
        <v>33</v>
      </c>
      <c r="E25" t="s">
        <v>102</v>
      </c>
      <c r="F25">
        <v>34</v>
      </c>
      <c r="G25" t="s">
        <v>270</v>
      </c>
      <c r="H25">
        <v>0.89194542169570923</v>
      </c>
      <c r="I25">
        <v>1.7064907550811768</v>
      </c>
      <c r="J25">
        <v>2</v>
      </c>
      <c r="K25">
        <v>18000000</v>
      </c>
      <c r="L25">
        <v>9000000</v>
      </c>
      <c r="N25" t="s">
        <v>104</v>
      </c>
      <c r="O25">
        <v>2</v>
      </c>
      <c r="P25">
        <v>29000000</v>
      </c>
      <c r="Q25">
        <v>14500000</v>
      </c>
      <c r="S25" t="s">
        <v>271</v>
      </c>
      <c r="U25">
        <f t="shared" si="0"/>
        <v>0</v>
      </c>
      <c r="V25">
        <v>0</v>
      </c>
    </row>
    <row r="26" spans="1:22" hidden="1" x14ac:dyDescent="0.35">
      <c r="A26" t="s">
        <v>131</v>
      </c>
      <c r="B26" t="s">
        <v>0</v>
      </c>
      <c r="C26" t="s">
        <v>39</v>
      </c>
      <c r="D26" t="s">
        <v>39</v>
      </c>
      <c r="E26" t="s">
        <v>36</v>
      </c>
      <c r="F26">
        <v>30</v>
      </c>
      <c r="G26" t="s">
        <v>61</v>
      </c>
      <c r="H26">
        <v>2.0611684322357178</v>
      </c>
      <c r="I26">
        <v>2.4991073608398438</v>
      </c>
      <c r="J26">
        <v>5</v>
      </c>
      <c r="K26">
        <v>125000000</v>
      </c>
      <c r="L26">
        <v>25000000</v>
      </c>
      <c r="M26">
        <v>21050000</v>
      </c>
      <c r="N26" t="s">
        <v>36</v>
      </c>
      <c r="O26">
        <v>2</v>
      </c>
      <c r="P26">
        <v>54000000</v>
      </c>
      <c r="Q26">
        <v>27000000</v>
      </c>
      <c r="S26" t="s">
        <v>132</v>
      </c>
      <c r="U26">
        <f t="shared" si="0"/>
        <v>0</v>
      </c>
    </row>
    <row r="27" spans="1:22" x14ac:dyDescent="0.35">
      <c r="A27" t="s">
        <v>94</v>
      </c>
      <c r="B27" t="s">
        <v>95</v>
      </c>
      <c r="C27" t="s">
        <v>33</v>
      </c>
      <c r="D27" t="s">
        <v>33</v>
      </c>
      <c r="E27" t="s">
        <v>58</v>
      </c>
      <c r="F27">
        <v>33</v>
      </c>
      <c r="G27" t="s">
        <v>96</v>
      </c>
      <c r="H27">
        <v>2.9881842136383057</v>
      </c>
      <c r="I27">
        <v>1.6810855865478516</v>
      </c>
      <c r="J27">
        <v>2</v>
      </c>
      <c r="K27">
        <v>28000000</v>
      </c>
      <c r="L27">
        <v>14000000</v>
      </c>
      <c r="N27" t="s">
        <v>97</v>
      </c>
      <c r="O27">
        <v>2</v>
      </c>
      <c r="P27">
        <v>37000000</v>
      </c>
      <c r="Q27">
        <v>18500000</v>
      </c>
      <c r="S27" t="s">
        <v>98</v>
      </c>
      <c r="U27">
        <f t="shared" si="0"/>
        <v>0</v>
      </c>
      <c r="V27">
        <v>0</v>
      </c>
    </row>
    <row r="28" spans="1:22" x14ac:dyDescent="0.35">
      <c r="A28" t="s">
        <v>127</v>
      </c>
      <c r="B28" t="s">
        <v>10</v>
      </c>
      <c r="C28" t="s">
        <v>39</v>
      </c>
      <c r="D28" t="s">
        <v>39</v>
      </c>
      <c r="E28" t="s">
        <v>36</v>
      </c>
      <c r="F28">
        <v>31</v>
      </c>
      <c r="G28" t="s">
        <v>128</v>
      </c>
      <c r="H28">
        <v>2.1073484420776367</v>
      </c>
      <c r="I28">
        <v>1.5633713006973267</v>
      </c>
      <c r="J28">
        <v>3</v>
      </c>
      <c r="K28">
        <v>48000000</v>
      </c>
      <c r="L28">
        <v>16000000</v>
      </c>
      <c r="M28">
        <v>21050000</v>
      </c>
      <c r="N28" t="s">
        <v>129</v>
      </c>
      <c r="O28">
        <v>3</v>
      </c>
      <c r="P28">
        <v>67000000</v>
      </c>
      <c r="Q28">
        <v>22333333.333333328</v>
      </c>
      <c r="S28" t="s">
        <v>130</v>
      </c>
      <c r="U28">
        <f t="shared" si="0"/>
        <v>0</v>
      </c>
      <c r="V28">
        <v>0</v>
      </c>
    </row>
    <row r="29" spans="1:22" x14ac:dyDescent="0.35">
      <c r="A29" t="s">
        <v>115</v>
      </c>
      <c r="B29" t="s">
        <v>116</v>
      </c>
      <c r="C29" t="s">
        <v>39</v>
      </c>
      <c r="D29" t="s">
        <v>39</v>
      </c>
      <c r="E29" t="s">
        <v>53</v>
      </c>
      <c r="F29">
        <v>30</v>
      </c>
      <c r="G29" t="s">
        <v>117</v>
      </c>
      <c r="H29">
        <v>2.5528674125671387</v>
      </c>
      <c r="I29">
        <v>1.5265672206878662</v>
      </c>
      <c r="J29">
        <v>3</v>
      </c>
      <c r="K29">
        <v>51000000</v>
      </c>
      <c r="L29">
        <v>17000000</v>
      </c>
      <c r="N29" t="s">
        <v>56</v>
      </c>
      <c r="O29">
        <v>3</v>
      </c>
      <c r="P29">
        <v>49500000</v>
      </c>
      <c r="Q29">
        <v>16500000</v>
      </c>
      <c r="S29" t="s">
        <v>118</v>
      </c>
      <c r="U29">
        <f t="shared" si="0"/>
        <v>0</v>
      </c>
      <c r="V29">
        <v>0</v>
      </c>
    </row>
    <row r="30" spans="1:22" x14ac:dyDescent="0.35">
      <c r="A30" t="s">
        <v>453</v>
      </c>
      <c r="B30" t="s">
        <v>10</v>
      </c>
      <c r="C30" t="s">
        <v>39</v>
      </c>
      <c r="D30" t="s">
        <v>39</v>
      </c>
      <c r="E30" t="s">
        <v>102</v>
      </c>
      <c r="F30">
        <v>37</v>
      </c>
      <c r="G30" t="s">
        <v>454</v>
      </c>
      <c r="H30">
        <v>0.27441394329071045</v>
      </c>
      <c r="I30">
        <v>1.5192273855209351</v>
      </c>
      <c r="J30">
        <v>1</v>
      </c>
      <c r="K30">
        <v>10000000</v>
      </c>
      <c r="L30">
        <v>10000000</v>
      </c>
      <c r="N30" t="s">
        <v>78</v>
      </c>
      <c r="O30">
        <v>1</v>
      </c>
      <c r="P30">
        <v>15000000</v>
      </c>
      <c r="Q30">
        <v>15000000</v>
      </c>
      <c r="S30" t="s">
        <v>455</v>
      </c>
      <c r="U30">
        <f t="shared" si="0"/>
        <v>0</v>
      </c>
      <c r="V30">
        <v>0</v>
      </c>
    </row>
    <row r="31" spans="1:22" hidden="1" x14ac:dyDescent="0.35">
      <c r="A31" t="s">
        <v>147</v>
      </c>
      <c r="B31" t="s">
        <v>148</v>
      </c>
      <c r="C31" t="s">
        <v>33</v>
      </c>
      <c r="D31" t="s">
        <v>39</v>
      </c>
      <c r="E31" t="s">
        <v>149</v>
      </c>
      <c r="F31">
        <v>31</v>
      </c>
      <c r="G31" t="s">
        <v>150</v>
      </c>
      <c r="H31">
        <v>1.8931643962860107</v>
      </c>
      <c r="I31">
        <v>0.98469442129135132</v>
      </c>
      <c r="K31">
        <v>0</v>
      </c>
      <c r="N31" t="s">
        <v>151</v>
      </c>
      <c r="O31">
        <v>1</v>
      </c>
      <c r="P31">
        <v>3500000</v>
      </c>
      <c r="Q31">
        <v>3500000</v>
      </c>
      <c r="S31" t="s">
        <v>152</v>
      </c>
      <c r="U31">
        <f t="shared" si="0"/>
        <v>0</v>
      </c>
    </row>
    <row r="32" spans="1:22" x14ac:dyDescent="0.35">
      <c r="A32" t="s">
        <v>360</v>
      </c>
      <c r="B32" t="s">
        <v>3</v>
      </c>
      <c r="C32" t="s">
        <v>39</v>
      </c>
      <c r="D32" t="s">
        <v>39</v>
      </c>
      <c r="E32" t="s">
        <v>53</v>
      </c>
      <c r="F32">
        <v>30</v>
      </c>
      <c r="G32" t="s">
        <v>361</v>
      </c>
      <c r="H32">
        <v>0.53368353843688965</v>
      </c>
      <c r="I32">
        <v>1.5189570188522339</v>
      </c>
      <c r="J32">
        <v>2</v>
      </c>
      <c r="K32">
        <v>16000000</v>
      </c>
      <c r="L32">
        <v>8000000</v>
      </c>
      <c r="N32" t="s">
        <v>110</v>
      </c>
      <c r="O32">
        <v>1</v>
      </c>
      <c r="P32">
        <v>8500000</v>
      </c>
      <c r="Q32">
        <v>8500000</v>
      </c>
      <c r="S32" t="s">
        <v>362</v>
      </c>
      <c r="U32">
        <f t="shared" si="0"/>
        <v>0</v>
      </c>
      <c r="V32">
        <v>1</v>
      </c>
    </row>
    <row r="33" spans="1:22" x14ac:dyDescent="0.35">
      <c r="A33" t="s">
        <v>296</v>
      </c>
      <c r="B33" t="s">
        <v>10</v>
      </c>
      <c r="C33" t="s">
        <v>39</v>
      </c>
      <c r="D33" t="s">
        <v>39</v>
      </c>
      <c r="E33" t="s">
        <v>102</v>
      </c>
      <c r="F33">
        <v>30</v>
      </c>
      <c r="G33" t="s">
        <v>297</v>
      </c>
      <c r="H33">
        <v>0.76937061548233032</v>
      </c>
      <c r="I33">
        <v>1.4984276294708252</v>
      </c>
      <c r="J33">
        <v>2</v>
      </c>
      <c r="K33">
        <v>40000000</v>
      </c>
      <c r="L33">
        <v>20000000</v>
      </c>
      <c r="N33" t="s">
        <v>102</v>
      </c>
      <c r="O33">
        <v>2</v>
      </c>
      <c r="P33">
        <v>26000000</v>
      </c>
      <c r="Q33">
        <v>14555102</v>
      </c>
      <c r="S33" t="s">
        <v>298</v>
      </c>
      <c r="U33">
        <f t="shared" si="0"/>
        <v>0</v>
      </c>
      <c r="V33">
        <v>0</v>
      </c>
    </row>
    <row r="34" spans="1:22" hidden="1" x14ac:dyDescent="0.35">
      <c r="A34" t="s">
        <v>159</v>
      </c>
      <c r="B34" t="s">
        <v>1</v>
      </c>
      <c r="C34" t="s">
        <v>39</v>
      </c>
      <c r="D34" t="s">
        <v>39</v>
      </c>
      <c r="E34" t="s">
        <v>34</v>
      </c>
      <c r="F34">
        <v>28</v>
      </c>
      <c r="G34" t="s">
        <v>85</v>
      </c>
      <c r="H34">
        <v>1.8220431804656982</v>
      </c>
      <c r="I34">
        <v>2.8105981349945068</v>
      </c>
      <c r="J34">
        <v>3</v>
      </c>
      <c r="K34">
        <v>54000000</v>
      </c>
      <c r="L34">
        <v>18000000</v>
      </c>
      <c r="N34" t="s">
        <v>78</v>
      </c>
      <c r="O34">
        <v>1</v>
      </c>
      <c r="P34">
        <v>15000000</v>
      </c>
      <c r="Q34">
        <v>15000000</v>
      </c>
      <c r="S34" t="s">
        <v>160</v>
      </c>
      <c r="U34">
        <f t="shared" si="0"/>
        <v>0</v>
      </c>
    </row>
    <row r="35" spans="1:22" hidden="1" x14ac:dyDescent="0.35">
      <c r="A35" t="s">
        <v>161</v>
      </c>
      <c r="B35" t="s">
        <v>162</v>
      </c>
      <c r="C35" t="s">
        <v>39</v>
      </c>
      <c r="D35" t="s">
        <v>39</v>
      </c>
      <c r="E35" t="s">
        <v>81</v>
      </c>
      <c r="F35">
        <v>31</v>
      </c>
      <c r="G35" t="s">
        <v>163</v>
      </c>
      <c r="H35">
        <v>1.7760794162750244</v>
      </c>
      <c r="I35">
        <v>0.73779124021530151</v>
      </c>
      <c r="K35">
        <v>0</v>
      </c>
      <c r="N35" t="s">
        <v>141</v>
      </c>
      <c r="O35">
        <v>1</v>
      </c>
      <c r="P35">
        <v>1000000</v>
      </c>
      <c r="Q35">
        <v>1000000</v>
      </c>
      <c r="S35" t="s">
        <v>164</v>
      </c>
      <c r="U35">
        <f t="shared" si="0"/>
        <v>0</v>
      </c>
    </row>
    <row r="36" spans="1:22" x14ac:dyDescent="0.35">
      <c r="A36" t="s">
        <v>165</v>
      </c>
      <c r="B36" t="s">
        <v>3</v>
      </c>
      <c r="C36" t="s">
        <v>39</v>
      </c>
      <c r="D36" t="s">
        <v>39</v>
      </c>
      <c r="E36" t="s">
        <v>97</v>
      </c>
      <c r="F36">
        <v>30</v>
      </c>
      <c r="G36" t="s">
        <v>166</v>
      </c>
      <c r="H36">
        <v>1.769400954246521</v>
      </c>
      <c r="I36">
        <v>1.4981144666671753</v>
      </c>
      <c r="K36">
        <v>0</v>
      </c>
      <c r="N36" t="s">
        <v>104</v>
      </c>
      <c r="O36">
        <v>2</v>
      </c>
      <c r="P36">
        <v>11500000</v>
      </c>
      <c r="Q36">
        <v>5750000</v>
      </c>
      <c r="S36" t="s">
        <v>167</v>
      </c>
      <c r="U36">
        <f t="shared" si="0"/>
        <v>0</v>
      </c>
      <c r="V36">
        <v>1</v>
      </c>
    </row>
    <row r="37" spans="1:22" x14ac:dyDescent="0.35">
      <c r="A37" t="s">
        <v>123</v>
      </c>
      <c r="B37" t="s">
        <v>10</v>
      </c>
      <c r="C37" t="s">
        <v>33</v>
      </c>
      <c r="D37" t="s">
        <v>33</v>
      </c>
      <c r="E37" t="s">
        <v>97</v>
      </c>
      <c r="F37">
        <v>34</v>
      </c>
      <c r="G37" t="s">
        <v>124</v>
      </c>
      <c r="H37">
        <v>2.1737463474273682</v>
      </c>
      <c r="I37">
        <v>1.4836716651916504</v>
      </c>
      <c r="J37">
        <v>2</v>
      </c>
      <c r="K37">
        <v>25000000</v>
      </c>
      <c r="L37">
        <v>12500000</v>
      </c>
      <c r="N37" t="s">
        <v>125</v>
      </c>
      <c r="O37">
        <v>1</v>
      </c>
      <c r="P37">
        <v>5250000</v>
      </c>
      <c r="Q37">
        <v>5250000</v>
      </c>
      <c r="S37" t="s">
        <v>126</v>
      </c>
      <c r="U37">
        <f t="shared" si="0"/>
        <v>0</v>
      </c>
      <c r="V37">
        <v>0</v>
      </c>
    </row>
    <row r="38" spans="1:22" x14ac:dyDescent="0.35">
      <c r="A38" t="s">
        <v>312</v>
      </c>
      <c r="B38" t="s">
        <v>10</v>
      </c>
      <c r="C38" t="s">
        <v>39</v>
      </c>
      <c r="D38" t="s">
        <v>39</v>
      </c>
      <c r="E38" t="s">
        <v>51</v>
      </c>
      <c r="F38">
        <v>42</v>
      </c>
      <c r="G38" t="s">
        <v>313</v>
      </c>
      <c r="H38">
        <v>0.67786359786987305</v>
      </c>
      <c r="I38">
        <v>1.3841989040374756</v>
      </c>
      <c r="J38">
        <v>1</v>
      </c>
      <c r="K38">
        <v>15000000</v>
      </c>
      <c r="L38">
        <v>15000000</v>
      </c>
      <c r="N38" t="s">
        <v>42</v>
      </c>
      <c r="O38">
        <v>1</v>
      </c>
      <c r="P38">
        <v>15000000</v>
      </c>
      <c r="Q38">
        <v>15000000</v>
      </c>
      <c r="S38" t="s">
        <v>314</v>
      </c>
      <c r="U38">
        <f t="shared" si="0"/>
        <v>0</v>
      </c>
      <c r="V38">
        <v>0</v>
      </c>
    </row>
    <row r="39" spans="1:22" x14ac:dyDescent="0.35">
      <c r="A39" t="s">
        <v>624</v>
      </c>
      <c r="B39" t="s">
        <v>10</v>
      </c>
      <c r="C39" t="s">
        <v>39</v>
      </c>
      <c r="D39" t="s">
        <v>39</v>
      </c>
      <c r="E39" t="s">
        <v>66</v>
      </c>
      <c r="F39">
        <v>30</v>
      </c>
      <c r="G39" t="s">
        <v>625</v>
      </c>
      <c r="H39">
        <v>-9.5986157655715942E-2</v>
      </c>
      <c r="I39">
        <v>1.3838760852813721</v>
      </c>
      <c r="J39">
        <v>1</v>
      </c>
      <c r="K39">
        <v>15000000</v>
      </c>
      <c r="L39">
        <v>15000000</v>
      </c>
      <c r="N39" t="s">
        <v>53</v>
      </c>
      <c r="O39">
        <v>1</v>
      </c>
      <c r="P39">
        <v>21050000</v>
      </c>
      <c r="Q39">
        <v>21050000</v>
      </c>
      <c r="S39" t="s">
        <v>626</v>
      </c>
      <c r="U39">
        <f t="shared" si="0"/>
        <v>0</v>
      </c>
      <c r="V39">
        <v>0</v>
      </c>
    </row>
    <row r="40" spans="1:22" x14ac:dyDescent="0.35">
      <c r="A40" t="s">
        <v>624</v>
      </c>
      <c r="B40" t="s">
        <v>10</v>
      </c>
      <c r="C40" t="s">
        <v>39</v>
      </c>
      <c r="D40" t="s">
        <v>39</v>
      </c>
      <c r="E40" t="s">
        <v>66</v>
      </c>
      <c r="F40">
        <v>30</v>
      </c>
      <c r="G40" t="s">
        <v>625</v>
      </c>
      <c r="H40">
        <v>-9.5986157655715942E-2</v>
      </c>
      <c r="I40">
        <v>1.3838760852813721</v>
      </c>
      <c r="J40">
        <v>1</v>
      </c>
      <c r="K40">
        <v>15000000</v>
      </c>
      <c r="L40">
        <v>15000000</v>
      </c>
      <c r="N40" t="s">
        <v>134</v>
      </c>
      <c r="O40">
        <v>1</v>
      </c>
      <c r="P40">
        <v>69462</v>
      </c>
      <c r="Q40">
        <v>69462</v>
      </c>
      <c r="S40" t="s">
        <v>626</v>
      </c>
      <c r="U40">
        <f t="shared" si="0"/>
        <v>0</v>
      </c>
      <c r="V40">
        <v>0</v>
      </c>
    </row>
    <row r="41" spans="1:22" hidden="1" x14ac:dyDescent="0.35">
      <c r="A41" t="s">
        <v>179</v>
      </c>
      <c r="B41" t="s">
        <v>180</v>
      </c>
      <c r="C41" t="s">
        <v>39</v>
      </c>
      <c r="D41" t="s">
        <v>39</v>
      </c>
      <c r="E41" t="s">
        <v>58</v>
      </c>
      <c r="F41">
        <v>31</v>
      </c>
      <c r="G41" t="s">
        <v>181</v>
      </c>
      <c r="H41">
        <v>1.4305635690689087</v>
      </c>
      <c r="I41">
        <v>0.26157167553901672</v>
      </c>
      <c r="K41">
        <v>0</v>
      </c>
      <c r="N41" t="s">
        <v>62</v>
      </c>
      <c r="O41">
        <v>1</v>
      </c>
      <c r="P41">
        <v>2750000</v>
      </c>
      <c r="Q41">
        <v>2750000</v>
      </c>
      <c r="S41" t="s">
        <v>182</v>
      </c>
      <c r="U41">
        <f t="shared" si="0"/>
        <v>0</v>
      </c>
    </row>
    <row r="42" spans="1:22" x14ac:dyDescent="0.35">
      <c r="A42" t="s">
        <v>228</v>
      </c>
      <c r="B42" t="s">
        <v>10</v>
      </c>
      <c r="C42" t="s">
        <v>39</v>
      </c>
      <c r="D42" t="s">
        <v>39</v>
      </c>
      <c r="E42" t="s">
        <v>48</v>
      </c>
      <c r="F42">
        <v>41</v>
      </c>
      <c r="G42" t="s">
        <v>229</v>
      </c>
      <c r="H42">
        <v>1.1207062005996704</v>
      </c>
      <c r="I42">
        <v>1.3801397085189819</v>
      </c>
      <c r="J42">
        <v>1</v>
      </c>
      <c r="K42">
        <v>14000000</v>
      </c>
      <c r="L42">
        <v>14000000</v>
      </c>
      <c r="N42" t="s">
        <v>56</v>
      </c>
      <c r="O42">
        <v>1</v>
      </c>
      <c r="P42">
        <v>15000000</v>
      </c>
      <c r="Q42">
        <v>15000000</v>
      </c>
      <c r="S42" t="s">
        <v>230</v>
      </c>
      <c r="U42">
        <f t="shared" si="0"/>
        <v>0</v>
      </c>
      <c r="V42">
        <v>0</v>
      </c>
    </row>
    <row r="43" spans="1:22" x14ac:dyDescent="0.35">
      <c r="A43" t="s">
        <v>176</v>
      </c>
      <c r="B43" t="s">
        <v>3</v>
      </c>
      <c r="C43" t="s">
        <v>39</v>
      </c>
      <c r="D43" t="s">
        <v>39</v>
      </c>
      <c r="E43" t="s">
        <v>46</v>
      </c>
      <c r="F43">
        <v>35</v>
      </c>
      <c r="G43" t="s">
        <v>177</v>
      </c>
      <c r="H43">
        <v>1.5625476837158203</v>
      </c>
      <c r="I43">
        <v>1.2703454494476318</v>
      </c>
      <c r="K43">
        <v>0</v>
      </c>
      <c r="N43" t="s">
        <v>97</v>
      </c>
      <c r="O43">
        <v>2</v>
      </c>
      <c r="P43">
        <v>13500000</v>
      </c>
      <c r="Q43">
        <v>6750000</v>
      </c>
      <c r="S43" t="s">
        <v>178</v>
      </c>
      <c r="U43">
        <f t="shared" si="0"/>
        <v>0</v>
      </c>
      <c r="V43">
        <v>1</v>
      </c>
    </row>
    <row r="44" spans="1:22" x14ac:dyDescent="0.35">
      <c r="A44" t="s">
        <v>206</v>
      </c>
      <c r="B44" t="s">
        <v>10</v>
      </c>
      <c r="C44" t="s">
        <v>39</v>
      </c>
      <c r="D44" t="s">
        <v>39</v>
      </c>
      <c r="E44" t="s">
        <v>40</v>
      </c>
      <c r="F44">
        <v>32</v>
      </c>
      <c r="G44" t="s">
        <v>207</v>
      </c>
      <c r="H44">
        <v>1.287661075592041</v>
      </c>
      <c r="I44">
        <v>1.1883374452590942</v>
      </c>
      <c r="J44">
        <v>2</v>
      </c>
      <c r="K44">
        <v>26000000</v>
      </c>
      <c r="L44">
        <v>13000000</v>
      </c>
      <c r="N44" t="s">
        <v>36</v>
      </c>
      <c r="O44">
        <v>2</v>
      </c>
      <c r="P44">
        <v>34000000</v>
      </c>
      <c r="Q44">
        <v>17000000</v>
      </c>
      <c r="S44" t="s">
        <v>208</v>
      </c>
      <c r="U44">
        <f t="shared" si="0"/>
        <v>0</v>
      </c>
      <c r="V44">
        <v>0</v>
      </c>
    </row>
    <row r="45" spans="1:22" x14ac:dyDescent="0.35">
      <c r="A45" t="s">
        <v>240</v>
      </c>
      <c r="B45" t="s">
        <v>10</v>
      </c>
      <c r="C45" t="s">
        <v>39</v>
      </c>
      <c r="D45" t="s">
        <v>33</v>
      </c>
      <c r="E45" t="s">
        <v>36</v>
      </c>
      <c r="F45">
        <v>36</v>
      </c>
      <c r="G45" t="s">
        <v>241</v>
      </c>
      <c r="H45">
        <v>1.0541503429412842</v>
      </c>
      <c r="I45">
        <v>1.1716850996017456</v>
      </c>
      <c r="J45">
        <v>2</v>
      </c>
      <c r="K45">
        <v>24000000</v>
      </c>
      <c r="L45">
        <v>12000000</v>
      </c>
      <c r="N45" t="s">
        <v>40</v>
      </c>
      <c r="O45">
        <v>1</v>
      </c>
      <c r="P45">
        <v>4250000</v>
      </c>
      <c r="Q45">
        <v>4250000</v>
      </c>
      <c r="S45" t="s">
        <v>242</v>
      </c>
      <c r="U45">
        <f t="shared" si="0"/>
        <v>0</v>
      </c>
      <c r="V45">
        <v>0</v>
      </c>
    </row>
    <row r="46" spans="1:22" x14ac:dyDescent="0.35">
      <c r="A46" t="s">
        <v>153</v>
      </c>
      <c r="B46" t="s">
        <v>3</v>
      </c>
      <c r="C46" t="s">
        <v>39</v>
      </c>
      <c r="D46" t="s">
        <v>39</v>
      </c>
      <c r="E46" t="s">
        <v>48</v>
      </c>
      <c r="F46">
        <v>36</v>
      </c>
      <c r="G46" t="s">
        <v>154</v>
      </c>
      <c r="H46">
        <v>1.8475935459136963</v>
      </c>
      <c r="I46">
        <v>1.1399804353713989</v>
      </c>
      <c r="J46">
        <v>1</v>
      </c>
      <c r="K46">
        <v>7000000</v>
      </c>
      <c r="L46">
        <v>7000000</v>
      </c>
      <c r="N46" t="s">
        <v>62</v>
      </c>
      <c r="O46">
        <v>2</v>
      </c>
      <c r="P46">
        <v>12000000</v>
      </c>
      <c r="Q46">
        <v>6000000</v>
      </c>
      <c r="S46" t="s">
        <v>155</v>
      </c>
      <c r="U46">
        <f t="shared" si="0"/>
        <v>0</v>
      </c>
      <c r="V46">
        <v>1</v>
      </c>
    </row>
    <row r="47" spans="1:22" x14ac:dyDescent="0.35">
      <c r="A47" t="s">
        <v>197</v>
      </c>
      <c r="B47" t="s">
        <v>32</v>
      </c>
      <c r="C47" t="s">
        <v>33</v>
      </c>
      <c r="D47" t="s">
        <v>39</v>
      </c>
      <c r="E47" t="s">
        <v>42</v>
      </c>
      <c r="F47">
        <v>32</v>
      </c>
      <c r="G47" t="s">
        <v>198</v>
      </c>
      <c r="H47">
        <v>1.3144761323928833</v>
      </c>
      <c r="I47">
        <v>1.1102286577224731</v>
      </c>
      <c r="J47">
        <v>1</v>
      </c>
      <c r="K47">
        <v>12000000</v>
      </c>
      <c r="L47">
        <v>12000000</v>
      </c>
      <c r="N47" t="s">
        <v>66</v>
      </c>
      <c r="O47">
        <v>1</v>
      </c>
      <c r="P47">
        <v>17000000</v>
      </c>
      <c r="Q47">
        <v>17000000</v>
      </c>
      <c r="S47" t="s">
        <v>199</v>
      </c>
      <c r="U47">
        <f t="shared" si="0"/>
        <v>0</v>
      </c>
      <c r="V47">
        <v>0</v>
      </c>
    </row>
    <row r="48" spans="1:22" x14ac:dyDescent="0.35">
      <c r="A48" t="s">
        <v>321</v>
      </c>
      <c r="B48" t="s">
        <v>10</v>
      </c>
      <c r="C48" t="s">
        <v>33</v>
      </c>
      <c r="D48" t="s">
        <v>33</v>
      </c>
      <c r="E48" t="s">
        <v>66</v>
      </c>
      <c r="F48">
        <v>37</v>
      </c>
      <c r="G48" t="s">
        <v>322</v>
      </c>
      <c r="H48">
        <v>0.65915322303771973</v>
      </c>
      <c r="I48">
        <v>1.0802878141403198</v>
      </c>
      <c r="K48">
        <v>0</v>
      </c>
      <c r="N48" t="s">
        <v>66</v>
      </c>
      <c r="O48">
        <v>1</v>
      </c>
      <c r="P48">
        <v>7500000</v>
      </c>
      <c r="Q48">
        <v>7500000</v>
      </c>
      <c r="S48" t="s">
        <v>323</v>
      </c>
      <c r="U48">
        <f t="shared" si="0"/>
        <v>0</v>
      </c>
      <c r="V48">
        <v>0</v>
      </c>
    </row>
    <row r="49" spans="1:22" x14ac:dyDescent="0.35">
      <c r="A49" t="s">
        <v>200</v>
      </c>
      <c r="B49" t="s">
        <v>10</v>
      </c>
      <c r="C49" t="s">
        <v>45</v>
      </c>
      <c r="D49" t="s">
        <v>39</v>
      </c>
      <c r="E49" t="s">
        <v>184</v>
      </c>
      <c r="F49">
        <v>38</v>
      </c>
      <c r="G49" t="s">
        <v>201</v>
      </c>
      <c r="H49">
        <v>1.3104637861251831</v>
      </c>
      <c r="I49">
        <v>1.0387334823608398</v>
      </c>
      <c r="J49">
        <v>1</v>
      </c>
      <c r="K49">
        <v>8000000</v>
      </c>
      <c r="L49">
        <v>8000000</v>
      </c>
      <c r="S49" t="s">
        <v>202</v>
      </c>
      <c r="U49">
        <f t="shared" si="0"/>
        <v>0</v>
      </c>
      <c r="V49">
        <v>0</v>
      </c>
    </row>
    <row r="50" spans="1:22" hidden="1" x14ac:dyDescent="0.35">
      <c r="A50" t="s">
        <v>209</v>
      </c>
      <c r="B50" t="s">
        <v>6</v>
      </c>
      <c r="C50" t="s">
        <v>39</v>
      </c>
      <c r="D50" t="s">
        <v>39</v>
      </c>
      <c r="E50" t="s">
        <v>36</v>
      </c>
      <c r="F50">
        <v>31</v>
      </c>
      <c r="G50" t="s">
        <v>210</v>
      </c>
      <c r="H50">
        <v>1.2348982095718384</v>
      </c>
      <c r="I50">
        <v>1.1051558256149292</v>
      </c>
      <c r="J50">
        <v>1</v>
      </c>
      <c r="K50">
        <v>10000000</v>
      </c>
      <c r="L50">
        <v>10000000</v>
      </c>
      <c r="N50" t="s">
        <v>100</v>
      </c>
      <c r="O50">
        <v>1</v>
      </c>
      <c r="P50">
        <v>6250000</v>
      </c>
      <c r="Q50">
        <v>6250000</v>
      </c>
      <c r="S50" t="s">
        <v>211</v>
      </c>
      <c r="U50">
        <f t="shared" si="0"/>
        <v>0</v>
      </c>
    </row>
    <row r="51" spans="1:22" x14ac:dyDescent="0.35">
      <c r="A51" t="s">
        <v>428</v>
      </c>
      <c r="B51" t="s">
        <v>10</v>
      </c>
      <c r="C51" t="s">
        <v>39</v>
      </c>
      <c r="D51" t="s">
        <v>39</v>
      </c>
      <c r="E51" t="s">
        <v>151</v>
      </c>
      <c r="F51">
        <v>27</v>
      </c>
      <c r="G51" t="s">
        <v>429</v>
      </c>
      <c r="H51">
        <v>0.36276072263717651</v>
      </c>
      <c r="I51">
        <v>1.0183967351913452</v>
      </c>
      <c r="K51">
        <v>0</v>
      </c>
      <c r="N51" t="s">
        <v>141</v>
      </c>
      <c r="O51">
        <v>1</v>
      </c>
      <c r="P51">
        <v>9000000</v>
      </c>
      <c r="Q51">
        <v>9000000</v>
      </c>
      <c r="S51" t="s">
        <v>430</v>
      </c>
      <c r="U51">
        <f t="shared" si="0"/>
        <v>0</v>
      </c>
      <c r="V51">
        <v>0</v>
      </c>
    </row>
    <row r="52" spans="1:22" x14ac:dyDescent="0.35">
      <c r="A52" t="s">
        <v>309</v>
      </c>
      <c r="B52" t="s">
        <v>10</v>
      </c>
      <c r="C52" t="s">
        <v>39</v>
      </c>
      <c r="D52" t="s">
        <v>39</v>
      </c>
      <c r="E52" t="s">
        <v>81</v>
      </c>
      <c r="F52">
        <v>33</v>
      </c>
      <c r="G52" t="s">
        <v>310</v>
      </c>
      <c r="H52">
        <v>0.67994749546051025</v>
      </c>
      <c r="I52">
        <v>1.0085035562515259</v>
      </c>
      <c r="J52">
        <v>1</v>
      </c>
      <c r="K52">
        <v>5500000</v>
      </c>
      <c r="L52">
        <v>5500000</v>
      </c>
      <c r="N52" t="s">
        <v>81</v>
      </c>
      <c r="O52">
        <v>1</v>
      </c>
      <c r="P52">
        <v>7000000</v>
      </c>
      <c r="Q52">
        <v>7000000</v>
      </c>
      <c r="S52" t="s">
        <v>311</v>
      </c>
      <c r="U52">
        <f t="shared" si="0"/>
        <v>0</v>
      </c>
      <c r="V52">
        <v>0</v>
      </c>
    </row>
    <row r="53" spans="1:22" hidden="1" x14ac:dyDescent="0.35">
      <c r="A53" t="s">
        <v>218</v>
      </c>
      <c r="B53" t="s">
        <v>0</v>
      </c>
      <c r="C53" t="s">
        <v>39</v>
      </c>
      <c r="D53" t="s">
        <v>39</v>
      </c>
      <c r="E53" t="s">
        <v>184</v>
      </c>
      <c r="F53">
        <v>37</v>
      </c>
      <c r="G53" t="s">
        <v>219</v>
      </c>
      <c r="H53">
        <v>1.1561386585235596</v>
      </c>
      <c r="I53">
        <v>1.9117923974990845</v>
      </c>
      <c r="J53">
        <v>1</v>
      </c>
      <c r="K53">
        <v>14000000</v>
      </c>
      <c r="L53">
        <v>14000000</v>
      </c>
      <c r="M53">
        <v>0</v>
      </c>
      <c r="N53" t="s">
        <v>34</v>
      </c>
      <c r="O53">
        <v>1</v>
      </c>
      <c r="P53">
        <v>12500000</v>
      </c>
      <c r="Q53">
        <v>12500000</v>
      </c>
      <c r="S53" t="s">
        <v>220</v>
      </c>
      <c r="U53">
        <f t="shared" si="0"/>
        <v>0</v>
      </c>
    </row>
    <row r="54" spans="1:22" x14ac:dyDescent="0.35">
      <c r="A54" t="s">
        <v>190</v>
      </c>
      <c r="B54" t="s">
        <v>191</v>
      </c>
      <c r="C54" t="s">
        <v>33</v>
      </c>
      <c r="D54" t="s">
        <v>33</v>
      </c>
      <c r="E54" t="s">
        <v>36</v>
      </c>
      <c r="F54">
        <v>31</v>
      </c>
      <c r="G54" t="s">
        <v>192</v>
      </c>
      <c r="H54">
        <v>1.3797411918640137</v>
      </c>
      <c r="I54">
        <v>0.98574739694595337</v>
      </c>
      <c r="J54">
        <v>2</v>
      </c>
      <c r="K54">
        <v>14000000</v>
      </c>
      <c r="L54">
        <v>7000000</v>
      </c>
      <c r="N54" t="s">
        <v>36</v>
      </c>
      <c r="O54">
        <v>1</v>
      </c>
      <c r="P54">
        <v>7500000</v>
      </c>
      <c r="Q54">
        <v>7500000</v>
      </c>
      <c r="S54" t="s">
        <v>193</v>
      </c>
      <c r="U54">
        <f t="shared" si="0"/>
        <v>0</v>
      </c>
      <c r="V54">
        <v>0</v>
      </c>
    </row>
    <row r="55" spans="1:22" x14ac:dyDescent="0.35">
      <c r="A55" t="s">
        <v>250</v>
      </c>
      <c r="B55" t="s">
        <v>65</v>
      </c>
      <c r="C55" t="s">
        <v>33</v>
      </c>
      <c r="D55" t="s">
        <v>33</v>
      </c>
      <c r="E55" t="s">
        <v>100</v>
      </c>
      <c r="F55">
        <v>32</v>
      </c>
      <c r="G55" t="s">
        <v>251</v>
      </c>
      <c r="H55">
        <v>0.95013284683227539</v>
      </c>
      <c r="I55">
        <v>0.97045028209686279</v>
      </c>
      <c r="J55">
        <v>2</v>
      </c>
      <c r="K55">
        <v>22000000</v>
      </c>
      <c r="L55">
        <v>11000000</v>
      </c>
      <c r="N55" t="s">
        <v>134</v>
      </c>
      <c r="O55">
        <v>1</v>
      </c>
      <c r="P55">
        <v>10000000</v>
      </c>
      <c r="Q55">
        <v>10000000</v>
      </c>
      <c r="S55" t="s">
        <v>252</v>
      </c>
      <c r="U55">
        <f t="shared" si="0"/>
        <v>0</v>
      </c>
      <c r="V55">
        <v>0</v>
      </c>
    </row>
    <row r="56" spans="1:22" x14ac:dyDescent="0.35">
      <c r="A56" t="s">
        <v>243</v>
      </c>
      <c r="B56" t="s">
        <v>244</v>
      </c>
      <c r="C56" t="s">
        <v>33</v>
      </c>
      <c r="D56" t="s">
        <v>33</v>
      </c>
      <c r="E56" t="s">
        <v>104</v>
      </c>
      <c r="F56">
        <v>34</v>
      </c>
      <c r="G56" t="s">
        <v>245</v>
      </c>
      <c r="H56">
        <v>1.0476001501083374</v>
      </c>
      <c r="I56">
        <v>0.96923506259918213</v>
      </c>
      <c r="K56">
        <v>0</v>
      </c>
      <c r="N56" t="s">
        <v>151</v>
      </c>
      <c r="O56">
        <v>1</v>
      </c>
      <c r="P56">
        <v>1950000</v>
      </c>
      <c r="Q56">
        <v>1950000</v>
      </c>
      <c r="S56" t="s">
        <v>246</v>
      </c>
      <c r="U56">
        <f t="shared" si="0"/>
        <v>0</v>
      </c>
      <c r="V56">
        <v>0</v>
      </c>
    </row>
    <row r="57" spans="1:22" x14ac:dyDescent="0.35">
      <c r="A57" t="s">
        <v>183</v>
      </c>
      <c r="B57" t="s">
        <v>10</v>
      </c>
      <c r="C57" t="s">
        <v>39</v>
      </c>
      <c r="D57" t="s">
        <v>39</v>
      </c>
      <c r="E57" t="s">
        <v>184</v>
      </c>
      <c r="F57">
        <v>37</v>
      </c>
      <c r="G57" t="s">
        <v>185</v>
      </c>
      <c r="H57">
        <v>1.428179144859314</v>
      </c>
      <c r="I57">
        <v>0.96512174606323242</v>
      </c>
      <c r="J57">
        <v>1</v>
      </c>
      <c r="K57">
        <v>10000000</v>
      </c>
      <c r="L57">
        <v>10000000</v>
      </c>
      <c r="N57" t="s">
        <v>56</v>
      </c>
      <c r="O57">
        <v>1</v>
      </c>
      <c r="P57">
        <v>5250000</v>
      </c>
      <c r="Q57">
        <v>5250000</v>
      </c>
      <c r="S57" t="s">
        <v>186</v>
      </c>
      <c r="U57">
        <f t="shared" si="0"/>
        <v>0</v>
      </c>
      <c r="V57">
        <v>0</v>
      </c>
    </row>
    <row r="58" spans="1:22" x14ac:dyDescent="0.35">
      <c r="A58" t="s">
        <v>374</v>
      </c>
      <c r="B58" t="s">
        <v>10</v>
      </c>
      <c r="C58" t="s">
        <v>33</v>
      </c>
      <c r="D58" t="s">
        <v>33</v>
      </c>
      <c r="E58" t="s">
        <v>46</v>
      </c>
      <c r="F58">
        <v>34</v>
      </c>
      <c r="G58" t="s">
        <v>375</v>
      </c>
      <c r="H58">
        <v>0.49794203042984009</v>
      </c>
      <c r="I58">
        <v>0.91062599420547485</v>
      </c>
      <c r="J58">
        <v>1</v>
      </c>
      <c r="K58">
        <v>7000000</v>
      </c>
      <c r="L58">
        <v>7000000</v>
      </c>
      <c r="N58" t="s">
        <v>151</v>
      </c>
      <c r="O58">
        <v>1</v>
      </c>
      <c r="P58">
        <v>5000000</v>
      </c>
      <c r="Q58">
        <v>5000000</v>
      </c>
      <c r="S58" t="s">
        <v>376</v>
      </c>
      <c r="U58">
        <f t="shared" si="0"/>
        <v>0</v>
      </c>
      <c r="V58">
        <v>0</v>
      </c>
    </row>
    <row r="59" spans="1:22" x14ac:dyDescent="0.35">
      <c r="A59" t="s">
        <v>409</v>
      </c>
      <c r="B59" t="s">
        <v>10</v>
      </c>
      <c r="C59" t="s">
        <v>39</v>
      </c>
      <c r="D59" t="s">
        <v>39</v>
      </c>
      <c r="E59" t="s">
        <v>104</v>
      </c>
      <c r="F59">
        <v>35</v>
      </c>
      <c r="G59" t="s">
        <v>410</v>
      </c>
      <c r="H59">
        <v>0.41013327240943909</v>
      </c>
      <c r="I59">
        <v>0.85594969987869263</v>
      </c>
      <c r="K59">
        <v>0</v>
      </c>
      <c r="N59" t="s">
        <v>62</v>
      </c>
      <c r="O59">
        <v>1</v>
      </c>
      <c r="P59">
        <v>2500000</v>
      </c>
      <c r="Q59">
        <v>2500000</v>
      </c>
      <c r="S59" t="s">
        <v>411</v>
      </c>
      <c r="U59">
        <f t="shared" si="0"/>
        <v>0</v>
      </c>
      <c r="V59">
        <v>0</v>
      </c>
    </row>
    <row r="60" spans="1:22" x14ac:dyDescent="0.35">
      <c r="A60" t="s">
        <v>133</v>
      </c>
      <c r="B60" t="s">
        <v>9</v>
      </c>
      <c r="C60" t="s">
        <v>39</v>
      </c>
      <c r="D60" t="s">
        <v>39</v>
      </c>
      <c r="E60" t="s">
        <v>134</v>
      </c>
      <c r="F60">
        <v>32</v>
      </c>
      <c r="G60" t="s">
        <v>135</v>
      </c>
      <c r="H60">
        <v>2.0313034057617188</v>
      </c>
      <c r="I60">
        <v>0.82233375310897827</v>
      </c>
      <c r="J60">
        <v>3</v>
      </c>
      <c r="K60">
        <v>30000000</v>
      </c>
      <c r="L60">
        <v>10000000</v>
      </c>
      <c r="N60" t="s">
        <v>86</v>
      </c>
      <c r="O60">
        <v>3</v>
      </c>
      <c r="P60">
        <v>33000000</v>
      </c>
      <c r="Q60">
        <v>11000000</v>
      </c>
      <c r="S60" t="s">
        <v>136</v>
      </c>
      <c r="U60">
        <f t="shared" si="0"/>
        <v>0</v>
      </c>
      <c r="V60">
        <v>0</v>
      </c>
    </row>
    <row r="61" spans="1:22" x14ac:dyDescent="0.35">
      <c r="A61" t="s">
        <v>171</v>
      </c>
      <c r="B61" t="s">
        <v>9</v>
      </c>
      <c r="C61" t="s">
        <v>39</v>
      </c>
      <c r="D61" t="s">
        <v>33</v>
      </c>
      <c r="E61" t="s">
        <v>46</v>
      </c>
      <c r="F61">
        <v>30</v>
      </c>
      <c r="G61" t="s">
        <v>117</v>
      </c>
      <c r="H61">
        <v>1.6380876302719116</v>
      </c>
      <c r="I61">
        <v>0.79611372947692871</v>
      </c>
      <c r="J61">
        <v>3</v>
      </c>
      <c r="K61">
        <v>36000000</v>
      </c>
      <c r="L61">
        <v>12000000</v>
      </c>
      <c r="N61" t="s">
        <v>66</v>
      </c>
      <c r="O61">
        <v>4</v>
      </c>
      <c r="P61">
        <v>72000000</v>
      </c>
      <c r="Q61">
        <v>15841901</v>
      </c>
      <c r="S61" t="s">
        <v>172</v>
      </c>
      <c r="U61">
        <f t="shared" si="0"/>
        <v>0</v>
      </c>
      <c r="V61">
        <v>0</v>
      </c>
    </row>
    <row r="62" spans="1:22" x14ac:dyDescent="0.35">
      <c r="A62" t="s">
        <v>140</v>
      </c>
      <c r="B62" t="s">
        <v>10</v>
      </c>
      <c r="C62" t="s">
        <v>39</v>
      </c>
      <c r="D62" t="s">
        <v>39</v>
      </c>
      <c r="E62" t="s">
        <v>141</v>
      </c>
      <c r="F62">
        <v>33</v>
      </c>
      <c r="G62" t="s">
        <v>142</v>
      </c>
      <c r="H62">
        <v>1.9769130945205688</v>
      </c>
      <c r="I62">
        <v>0.77775895595550537</v>
      </c>
      <c r="J62">
        <v>2</v>
      </c>
      <c r="K62">
        <v>18000000</v>
      </c>
      <c r="L62">
        <v>9000000</v>
      </c>
      <c r="N62" t="s">
        <v>141</v>
      </c>
      <c r="O62">
        <v>2</v>
      </c>
      <c r="P62">
        <v>14000000</v>
      </c>
      <c r="Q62">
        <v>7000000</v>
      </c>
      <c r="S62" t="s">
        <v>143</v>
      </c>
      <c r="U62">
        <f t="shared" si="0"/>
        <v>0</v>
      </c>
      <c r="V62">
        <v>0</v>
      </c>
    </row>
    <row r="63" spans="1:22" x14ac:dyDescent="0.35">
      <c r="A63" t="s">
        <v>356</v>
      </c>
      <c r="B63" t="s">
        <v>10</v>
      </c>
      <c r="C63" t="s">
        <v>33</v>
      </c>
      <c r="D63" t="s">
        <v>39</v>
      </c>
      <c r="E63" t="s">
        <v>254</v>
      </c>
      <c r="F63">
        <v>30</v>
      </c>
      <c r="G63" t="s">
        <v>357</v>
      </c>
      <c r="H63">
        <v>0.53538531064987183</v>
      </c>
      <c r="I63">
        <v>0.7732168436050415</v>
      </c>
      <c r="K63">
        <v>0</v>
      </c>
      <c r="N63" t="s">
        <v>358</v>
      </c>
      <c r="O63">
        <v>1</v>
      </c>
      <c r="P63">
        <v>3500000</v>
      </c>
      <c r="Q63">
        <v>3500000</v>
      </c>
      <c r="S63" t="s">
        <v>359</v>
      </c>
      <c r="U63">
        <f t="shared" si="0"/>
        <v>0</v>
      </c>
      <c r="V63">
        <v>0</v>
      </c>
    </row>
    <row r="64" spans="1:22" x14ac:dyDescent="0.35">
      <c r="A64" t="s">
        <v>237</v>
      </c>
      <c r="B64" t="s">
        <v>9</v>
      </c>
      <c r="C64" t="s">
        <v>33</v>
      </c>
      <c r="D64" t="s">
        <v>33</v>
      </c>
      <c r="E64" t="s">
        <v>125</v>
      </c>
      <c r="F64">
        <v>37</v>
      </c>
      <c r="G64" t="s">
        <v>238</v>
      </c>
      <c r="H64">
        <v>1.0912429094314575</v>
      </c>
      <c r="I64">
        <v>0.76992553472518921</v>
      </c>
      <c r="J64">
        <v>1</v>
      </c>
      <c r="K64">
        <v>10000000</v>
      </c>
      <c r="L64">
        <v>10000000</v>
      </c>
      <c r="N64" t="s">
        <v>53</v>
      </c>
      <c r="O64">
        <v>1</v>
      </c>
      <c r="P64">
        <v>10750000</v>
      </c>
      <c r="Q64">
        <v>10750000</v>
      </c>
      <c r="S64" t="s">
        <v>239</v>
      </c>
      <c r="U64">
        <f t="shared" si="0"/>
        <v>0</v>
      </c>
      <c r="V64">
        <v>0</v>
      </c>
    </row>
    <row r="65" spans="1:22" x14ac:dyDescent="0.35">
      <c r="A65" t="s">
        <v>421</v>
      </c>
      <c r="B65" t="s">
        <v>422</v>
      </c>
      <c r="C65" t="s">
        <v>39</v>
      </c>
      <c r="D65" t="s">
        <v>39</v>
      </c>
      <c r="E65" t="s">
        <v>40</v>
      </c>
      <c r="F65">
        <v>32</v>
      </c>
      <c r="G65" t="s">
        <v>423</v>
      </c>
      <c r="H65">
        <v>0.37407970428466797</v>
      </c>
      <c r="I65">
        <v>0.70520538091659546</v>
      </c>
      <c r="K65">
        <v>0</v>
      </c>
      <c r="N65" t="s">
        <v>56</v>
      </c>
      <c r="O65">
        <v>1</v>
      </c>
      <c r="P65">
        <v>8500000</v>
      </c>
      <c r="Q65">
        <v>8500000</v>
      </c>
      <c r="S65" t="s">
        <v>424</v>
      </c>
      <c r="U65">
        <f t="shared" si="0"/>
        <v>0</v>
      </c>
      <c r="V65">
        <v>1</v>
      </c>
    </row>
    <row r="66" spans="1:22" x14ac:dyDescent="0.35">
      <c r="A66" t="s">
        <v>477</v>
      </c>
      <c r="B66" t="s">
        <v>478</v>
      </c>
      <c r="C66" t="s">
        <v>39</v>
      </c>
      <c r="D66" t="s">
        <v>39</v>
      </c>
      <c r="E66" t="s">
        <v>70</v>
      </c>
      <c r="F66">
        <v>29</v>
      </c>
      <c r="G66" t="s">
        <v>479</v>
      </c>
      <c r="H66">
        <v>0.21797968447208405</v>
      </c>
      <c r="I66">
        <v>0.69562423229217529</v>
      </c>
      <c r="K66">
        <v>0</v>
      </c>
      <c r="N66" t="s">
        <v>141</v>
      </c>
      <c r="O66">
        <v>1</v>
      </c>
      <c r="P66">
        <v>2000000</v>
      </c>
      <c r="Q66">
        <v>2000000</v>
      </c>
      <c r="S66" t="s">
        <v>480</v>
      </c>
      <c r="U66">
        <f t="shared" si="0"/>
        <v>0</v>
      </c>
      <c r="V66">
        <v>0</v>
      </c>
    </row>
    <row r="67" spans="1:22" x14ac:dyDescent="0.35">
      <c r="A67" t="s">
        <v>234</v>
      </c>
      <c r="B67" t="s">
        <v>9</v>
      </c>
      <c r="C67" t="s">
        <v>33</v>
      </c>
      <c r="D67" t="s">
        <v>33</v>
      </c>
      <c r="E67" t="s">
        <v>48</v>
      </c>
      <c r="F67">
        <v>31</v>
      </c>
      <c r="G67" t="s">
        <v>235</v>
      </c>
      <c r="H67">
        <v>1.0976227521896362</v>
      </c>
      <c r="I67">
        <v>0.68837302923202515</v>
      </c>
      <c r="K67">
        <v>0</v>
      </c>
      <c r="N67" t="s">
        <v>48</v>
      </c>
      <c r="O67">
        <v>2</v>
      </c>
      <c r="P67">
        <v>13000000</v>
      </c>
      <c r="Q67">
        <v>6500000</v>
      </c>
      <c r="S67" t="s">
        <v>236</v>
      </c>
      <c r="U67">
        <f t="shared" ref="U67:U130" si="1">IF((L67="")*(Q67=""), 1, 0)</f>
        <v>0</v>
      </c>
      <c r="V67">
        <v>0</v>
      </c>
    </row>
    <row r="68" spans="1:22" hidden="1" x14ac:dyDescent="0.35">
      <c r="A68" t="s">
        <v>263</v>
      </c>
      <c r="B68" t="s">
        <v>120</v>
      </c>
      <c r="C68" t="s">
        <v>33</v>
      </c>
      <c r="D68" t="s">
        <v>39</v>
      </c>
      <c r="E68" t="s">
        <v>151</v>
      </c>
      <c r="F68">
        <v>30</v>
      </c>
      <c r="G68" t="s">
        <v>264</v>
      </c>
      <c r="H68">
        <v>0.89401715993881226</v>
      </c>
      <c r="I68">
        <v>0.42477011680603027</v>
      </c>
      <c r="K68">
        <v>0</v>
      </c>
      <c r="N68" t="s">
        <v>62</v>
      </c>
      <c r="O68">
        <v>1</v>
      </c>
      <c r="P68">
        <v>114247</v>
      </c>
      <c r="Q68">
        <v>114247</v>
      </c>
      <c r="S68" t="s">
        <v>265</v>
      </c>
      <c r="U68">
        <f t="shared" si="1"/>
        <v>0</v>
      </c>
    </row>
    <row r="69" spans="1:22" hidden="1" x14ac:dyDescent="0.35">
      <c r="A69" t="s">
        <v>194</v>
      </c>
      <c r="B69" t="s">
        <v>3</v>
      </c>
      <c r="C69" t="s">
        <v>45</v>
      </c>
      <c r="D69" t="s">
        <v>39</v>
      </c>
      <c r="E69" t="s">
        <v>125</v>
      </c>
      <c r="F69">
        <v>36</v>
      </c>
      <c r="G69" t="s">
        <v>195</v>
      </c>
      <c r="H69">
        <v>1.3548792600631714</v>
      </c>
      <c r="I69">
        <v>0.68798387050628662</v>
      </c>
      <c r="K69">
        <v>0</v>
      </c>
      <c r="S69" t="s">
        <v>196</v>
      </c>
      <c r="U69">
        <f t="shared" si="1"/>
        <v>1</v>
      </c>
    </row>
    <row r="70" spans="1:22" x14ac:dyDescent="0.35">
      <c r="A70" t="s">
        <v>260</v>
      </c>
      <c r="B70" t="s">
        <v>9</v>
      </c>
      <c r="C70" t="s">
        <v>39</v>
      </c>
      <c r="D70" t="s">
        <v>39</v>
      </c>
      <c r="E70" t="s">
        <v>53</v>
      </c>
      <c r="F70">
        <v>39</v>
      </c>
      <c r="G70" t="s">
        <v>261</v>
      </c>
      <c r="H70">
        <v>0.89683073759078979</v>
      </c>
      <c r="I70">
        <v>0.6744195818901062</v>
      </c>
      <c r="J70">
        <v>1</v>
      </c>
      <c r="K70">
        <v>7000000</v>
      </c>
      <c r="L70">
        <v>7000000</v>
      </c>
      <c r="N70" t="s">
        <v>97</v>
      </c>
      <c r="O70">
        <v>1</v>
      </c>
      <c r="P70">
        <v>5500000</v>
      </c>
      <c r="Q70">
        <v>5500000</v>
      </c>
      <c r="S70" t="s">
        <v>262</v>
      </c>
      <c r="U70">
        <f t="shared" si="1"/>
        <v>0</v>
      </c>
      <c r="V70">
        <v>0</v>
      </c>
    </row>
    <row r="71" spans="1:22" x14ac:dyDescent="0.35">
      <c r="A71" t="s">
        <v>168</v>
      </c>
      <c r="B71" t="s">
        <v>10</v>
      </c>
      <c r="C71" t="s">
        <v>33</v>
      </c>
      <c r="D71" t="s">
        <v>33</v>
      </c>
      <c r="E71" t="s">
        <v>141</v>
      </c>
      <c r="F71">
        <v>35</v>
      </c>
      <c r="G71" t="s">
        <v>169</v>
      </c>
      <c r="H71">
        <v>1.7376071214675903</v>
      </c>
      <c r="I71">
        <v>0.66931021213531494</v>
      </c>
      <c r="K71">
        <v>0</v>
      </c>
      <c r="N71" t="s">
        <v>97</v>
      </c>
      <c r="O71">
        <v>1</v>
      </c>
      <c r="P71">
        <v>1100000</v>
      </c>
      <c r="Q71">
        <v>1100000</v>
      </c>
      <c r="S71" t="s">
        <v>170</v>
      </c>
      <c r="U71">
        <f t="shared" si="1"/>
        <v>0</v>
      </c>
      <c r="V71">
        <v>0</v>
      </c>
    </row>
    <row r="72" spans="1:22" x14ac:dyDescent="0.35">
      <c r="A72" t="s">
        <v>545</v>
      </c>
      <c r="B72" t="s">
        <v>10</v>
      </c>
      <c r="C72" t="s">
        <v>39</v>
      </c>
      <c r="D72" t="s">
        <v>39</v>
      </c>
      <c r="E72" t="s">
        <v>62</v>
      </c>
      <c r="F72">
        <v>29</v>
      </c>
      <c r="G72" t="s">
        <v>300</v>
      </c>
      <c r="H72">
        <v>9.968288242816925E-2</v>
      </c>
      <c r="I72">
        <v>0.66780132055282593</v>
      </c>
      <c r="K72">
        <v>0</v>
      </c>
      <c r="N72" t="s">
        <v>36</v>
      </c>
      <c r="O72">
        <v>1</v>
      </c>
      <c r="P72">
        <v>4250000</v>
      </c>
      <c r="Q72">
        <v>4250000</v>
      </c>
      <c r="S72" t="s">
        <v>546</v>
      </c>
      <c r="U72">
        <f t="shared" si="1"/>
        <v>0</v>
      </c>
      <c r="V72">
        <v>0</v>
      </c>
    </row>
    <row r="73" spans="1:22" x14ac:dyDescent="0.35">
      <c r="A73" t="s">
        <v>247</v>
      </c>
      <c r="B73" t="s">
        <v>9</v>
      </c>
      <c r="C73" t="s">
        <v>39</v>
      </c>
      <c r="D73" t="s">
        <v>39</v>
      </c>
      <c r="E73" t="s">
        <v>66</v>
      </c>
      <c r="F73">
        <v>37</v>
      </c>
      <c r="G73" t="s">
        <v>248</v>
      </c>
      <c r="H73">
        <v>1.0153526067733765</v>
      </c>
      <c r="I73">
        <v>0.61965197324752808</v>
      </c>
      <c r="J73">
        <v>1</v>
      </c>
      <c r="K73">
        <v>8000000</v>
      </c>
      <c r="L73">
        <v>8000000</v>
      </c>
      <c r="N73" t="s">
        <v>66</v>
      </c>
      <c r="O73">
        <v>2</v>
      </c>
      <c r="P73">
        <v>22000000</v>
      </c>
      <c r="Q73">
        <v>11000000</v>
      </c>
      <c r="S73" t="s">
        <v>249</v>
      </c>
      <c r="U73">
        <f t="shared" si="1"/>
        <v>0</v>
      </c>
      <c r="V73">
        <v>0</v>
      </c>
    </row>
    <row r="74" spans="1:22" x14ac:dyDescent="0.35">
      <c r="A74" t="s">
        <v>415</v>
      </c>
      <c r="B74" t="s">
        <v>9</v>
      </c>
      <c r="C74" t="s">
        <v>39</v>
      </c>
      <c r="D74" t="s">
        <v>39</v>
      </c>
      <c r="E74" t="s">
        <v>149</v>
      </c>
      <c r="F74">
        <v>34</v>
      </c>
      <c r="G74" t="s">
        <v>416</v>
      </c>
      <c r="H74">
        <v>0.40387779474258423</v>
      </c>
      <c r="I74">
        <v>0.58305740356445313</v>
      </c>
      <c r="J74">
        <v>1</v>
      </c>
      <c r="K74">
        <v>5000000</v>
      </c>
      <c r="L74">
        <v>5000000</v>
      </c>
      <c r="N74" t="s">
        <v>86</v>
      </c>
      <c r="O74">
        <v>2</v>
      </c>
      <c r="P74">
        <v>15000000</v>
      </c>
      <c r="Q74">
        <v>7500000</v>
      </c>
      <c r="S74" t="s">
        <v>417</v>
      </c>
      <c r="U74">
        <f t="shared" si="1"/>
        <v>0</v>
      </c>
      <c r="V74">
        <v>0</v>
      </c>
    </row>
    <row r="75" spans="1:22" x14ac:dyDescent="0.35">
      <c r="A75" t="s">
        <v>333</v>
      </c>
      <c r="B75" t="s">
        <v>334</v>
      </c>
      <c r="C75" t="s">
        <v>39</v>
      </c>
      <c r="D75" t="s">
        <v>39</v>
      </c>
      <c r="E75" t="s">
        <v>66</v>
      </c>
      <c r="F75">
        <v>33</v>
      </c>
      <c r="G75" t="s">
        <v>335</v>
      </c>
      <c r="H75">
        <v>0.61565655469894409</v>
      </c>
      <c r="I75">
        <v>0.57740688323974609</v>
      </c>
      <c r="J75">
        <v>1</v>
      </c>
      <c r="K75">
        <v>5000000</v>
      </c>
      <c r="L75">
        <v>5000000</v>
      </c>
      <c r="N75" t="s">
        <v>66</v>
      </c>
      <c r="O75">
        <v>1</v>
      </c>
      <c r="P75">
        <v>6500000</v>
      </c>
      <c r="Q75">
        <v>6500000</v>
      </c>
      <c r="S75" t="s">
        <v>336</v>
      </c>
      <c r="U75">
        <f t="shared" si="1"/>
        <v>0</v>
      </c>
      <c r="V75">
        <v>0</v>
      </c>
    </row>
    <row r="76" spans="1:22" x14ac:dyDescent="0.35">
      <c r="A76" t="s">
        <v>603</v>
      </c>
      <c r="B76" t="s">
        <v>9</v>
      </c>
      <c r="C76" t="s">
        <v>33</v>
      </c>
      <c r="D76" t="s">
        <v>33</v>
      </c>
      <c r="E76" t="s">
        <v>48</v>
      </c>
      <c r="F76">
        <v>31</v>
      </c>
      <c r="G76" t="s">
        <v>604</v>
      </c>
      <c r="H76">
        <v>-4.955713078379631E-2</v>
      </c>
      <c r="I76">
        <v>0.54699242115020752</v>
      </c>
      <c r="J76">
        <v>1</v>
      </c>
      <c r="K76">
        <v>5000000</v>
      </c>
      <c r="L76">
        <v>5000000</v>
      </c>
      <c r="N76" t="s">
        <v>36</v>
      </c>
      <c r="O76">
        <v>2</v>
      </c>
      <c r="P76">
        <v>22000000</v>
      </c>
      <c r="Q76">
        <v>11000000</v>
      </c>
      <c r="S76" t="s">
        <v>605</v>
      </c>
      <c r="U76">
        <f t="shared" si="1"/>
        <v>0</v>
      </c>
      <c r="V76">
        <v>0</v>
      </c>
    </row>
    <row r="77" spans="1:22" x14ac:dyDescent="0.35">
      <c r="A77" t="s">
        <v>533</v>
      </c>
      <c r="B77" t="s">
        <v>9</v>
      </c>
      <c r="C77" t="s">
        <v>33</v>
      </c>
      <c r="D77" t="s">
        <v>33</v>
      </c>
      <c r="E77" t="s">
        <v>70</v>
      </c>
      <c r="F77">
        <v>37</v>
      </c>
      <c r="G77" t="s">
        <v>534</v>
      </c>
      <c r="H77">
        <v>0.11949363350868225</v>
      </c>
      <c r="I77">
        <v>0.5100407600402832</v>
      </c>
      <c r="K77">
        <v>0</v>
      </c>
      <c r="N77" t="s">
        <v>53</v>
      </c>
      <c r="O77">
        <v>1</v>
      </c>
      <c r="P77">
        <v>2250000</v>
      </c>
      <c r="Q77">
        <v>2250000</v>
      </c>
      <c r="S77" t="s">
        <v>535</v>
      </c>
      <c r="U77">
        <f t="shared" si="1"/>
        <v>0</v>
      </c>
      <c r="V77">
        <v>0</v>
      </c>
    </row>
    <row r="78" spans="1:22" x14ac:dyDescent="0.35">
      <c r="A78" t="s">
        <v>156</v>
      </c>
      <c r="B78" t="s">
        <v>9</v>
      </c>
      <c r="C78" t="s">
        <v>39</v>
      </c>
      <c r="D78" t="s">
        <v>39</v>
      </c>
      <c r="E78" t="s">
        <v>97</v>
      </c>
      <c r="F78">
        <v>40</v>
      </c>
      <c r="G78" t="s">
        <v>157</v>
      </c>
      <c r="H78">
        <v>1.8453360795974731</v>
      </c>
      <c r="I78">
        <v>0.5094527006149292</v>
      </c>
      <c r="J78">
        <v>1</v>
      </c>
      <c r="K78">
        <v>10000000</v>
      </c>
      <c r="L78">
        <v>10000000</v>
      </c>
      <c r="N78" t="s">
        <v>134</v>
      </c>
      <c r="O78">
        <v>1</v>
      </c>
      <c r="P78">
        <v>6000000</v>
      </c>
      <c r="Q78">
        <v>6000000</v>
      </c>
      <c r="S78" t="s">
        <v>158</v>
      </c>
      <c r="U78">
        <f t="shared" si="1"/>
        <v>0</v>
      </c>
      <c r="V78">
        <v>0</v>
      </c>
    </row>
    <row r="79" spans="1:22" hidden="1" x14ac:dyDescent="0.35">
      <c r="A79" t="s">
        <v>299</v>
      </c>
      <c r="B79" t="s">
        <v>1</v>
      </c>
      <c r="C79" t="s">
        <v>39</v>
      </c>
      <c r="D79" t="s">
        <v>39</v>
      </c>
      <c r="E79" t="s">
        <v>254</v>
      </c>
      <c r="F79">
        <v>28</v>
      </c>
      <c r="G79" t="s">
        <v>300</v>
      </c>
      <c r="H79">
        <v>0.75248193740844727</v>
      </c>
      <c r="I79">
        <v>0.82076293230056763</v>
      </c>
      <c r="K79">
        <v>0</v>
      </c>
      <c r="N79" t="s">
        <v>51</v>
      </c>
      <c r="O79">
        <v>1</v>
      </c>
      <c r="P79">
        <v>2000000</v>
      </c>
      <c r="Q79">
        <v>2000000</v>
      </c>
      <c r="S79" t="s">
        <v>301</v>
      </c>
      <c r="U79">
        <f t="shared" si="1"/>
        <v>0</v>
      </c>
    </row>
    <row r="80" spans="1:22" hidden="1" x14ac:dyDescent="0.35">
      <c r="A80" t="s">
        <v>302</v>
      </c>
      <c r="B80" t="s">
        <v>303</v>
      </c>
      <c r="C80" t="s">
        <v>45</v>
      </c>
      <c r="D80" t="s">
        <v>39</v>
      </c>
      <c r="E80" t="s">
        <v>129</v>
      </c>
      <c r="F80">
        <v>28</v>
      </c>
      <c r="G80" t="s">
        <v>304</v>
      </c>
      <c r="H80">
        <v>0.69579046964645386</v>
      </c>
      <c r="I80">
        <v>0.13186556100845337</v>
      </c>
      <c r="K80">
        <v>0</v>
      </c>
      <c r="N80" t="s">
        <v>53</v>
      </c>
      <c r="O80">
        <v>1</v>
      </c>
      <c r="P80">
        <v>0</v>
      </c>
      <c r="S80" t="s">
        <v>305</v>
      </c>
      <c r="U80">
        <f t="shared" si="1"/>
        <v>1</v>
      </c>
    </row>
    <row r="81" spans="1:22" hidden="1" x14ac:dyDescent="0.35">
      <c r="A81" t="s">
        <v>302</v>
      </c>
      <c r="B81" t="s">
        <v>303</v>
      </c>
      <c r="C81" t="s">
        <v>45</v>
      </c>
      <c r="D81" t="s">
        <v>39</v>
      </c>
      <c r="E81" t="s">
        <v>129</v>
      </c>
      <c r="F81">
        <v>28</v>
      </c>
      <c r="G81" t="s">
        <v>304</v>
      </c>
      <c r="H81">
        <v>0.69579046964645386</v>
      </c>
      <c r="I81">
        <v>0.13186556100845337</v>
      </c>
      <c r="K81">
        <v>0</v>
      </c>
      <c r="N81" t="s">
        <v>53</v>
      </c>
      <c r="O81">
        <v>1</v>
      </c>
      <c r="P81">
        <v>801075</v>
      </c>
      <c r="Q81">
        <v>801075</v>
      </c>
      <c r="S81" t="s">
        <v>305</v>
      </c>
      <c r="U81">
        <f t="shared" si="1"/>
        <v>0</v>
      </c>
    </row>
    <row r="82" spans="1:22" x14ac:dyDescent="0.35">
      <c r="A82" t="s">
        <v>412</v>
      </c>
      <c r="B82" t="s">
        <v>3</v>
      </c>
      <c r="C82" t="s">
        <v>39</v>
      </c>
      <c r="D82" t="s">
        <v>39</v>
      </c>
      <c r="E82" t="s">
        <v>102</v>
      </c>
      <c r="F82">
        <v>32</v>
      </c>
      <c r="G82" t="s">
        <v>413</v>
      </c>
      <c r="H82">
        <v>0.40625014901161194</v>
      </c>
      <c r="I82">
        <v>0.50772219896316528</v>
      </c>
      <c r="K82">
        <v>0</v>
      </c>
      <c r="N82" t="s">
        <v>102</v>
      </c>
      <c r="O82">
        <v>1</v>
      </c>
      <c r="P82">
        <v>4000000</v>
      </c>
      <c r="Q82">
        <v>4000000</v>
      </c>
      <c r="S82" t="s">
        <v>414</v>
      </c>
      <c r="U82">
        <f t="shared" si="1"/>
        <v>0</v>
      </c>
      <c r="V82">
        <v>1</v>
      </c>
    </row>
    <row r="83" spans="1:22" x14ac:dyDescent="0.35">
      <c r="A83" t="s">
        <v>324</v>
      </c>
      <c r="B83" t="s">
        <v>10</v>
      </c>
      <c r="C83" t="s">
        <v>39</v>
      </c>
      <c r="D83" t="s">
        <v>39</v>
      </c>
      <c r="E83" t="s">
        <v>134</v>
      </c>
      <c r="F83">
        <v>32</v>
      </c>
      <c r="G83" t="s">
        <v>325</v>
      </c>
      <c r="H83">
        <v>0.65727376937866211</v>
      </c>
      <c r="I83">
        <v>0.48997864127159119</v>
      </c>
      <c r="J83">
        <v>1</v>
      </c>
      <c r="K83">
        <v>5000000</v>
      </c>
      <c r="L83">
        <v>5000000</v>
      </c>
      <c r="N83" t="s">
        <v>86</v>
      </c>
      <c r="O83">
        <v>1</v>
      </c>
      <c r="P83">
        <v>1000000</v>
      </c>
      <c r="Q83">
        <v>1000000</v>
      </c>
      <c r="S83" t="s">
        <v>326</v>
      </c>
      <c r="U83">
        <f t="shared" si="1"/>
        <v>0</v>
      </c>
      <c r="V83">
        <v>0</v>
      </c>
    </row>
    <row r="84" spans="1:22" x14ac:dyDescent="0.35">
      <c r="A84" t="s">
        <v>221</v>
      </c>
      <c r="B84" t="s">
        <v>222</v>
      </c>
      <c r="C84" t="s">
        <v>39</v>
      </c>
      <c r="D84" t="s">
        <v>39</v>
      </c>
      <c r="E84" t="s">
        <v>149</v>
      </c>
      <c r="F84">
        <v>40</v>
      </c>
      <c r="G84" t="s">
        <v>223</v>
      </c>
      <c r="H84">
        <v>1.155468225479126</v>
      </c>
      <c r="I84">
        <v>0.48882424831390381</v>
      </c>
      <c r="J84">
        <v>1</v>
      </c>
      <c r="K84">
        <v>8000000</v>
      </c>
      <c r="L84">
        <v>8000000</v>
      </c>
      <c r="N84" t="s">
        <v>104</v>
      </c>
      <c r="O84">
        <v>1</v>
      </c>
      <c r="P84">
        <v>6000000</v>
      </c>
      <c r="Q84">
        <v>6000000</v>
      </c>
      <c r="S84" t="s">
        <v>224</v>
      </c>
      <c r="U84">
        <f t="shared" si="1"/>
        <v>0</v>
      </c>
      <c r="V84">
        <v>0</v>
      </c>
    </row>
    <row r="85" spans="1:22" hidden="1" x14ac:dyDescent="0.35">
      <c r="A85" t="s">
        <v>315</v>
      </c>
      <c r="B85" t="s">
        <v>2</v>
      </c>
      <c r="C85" t="s">
        <v>39</v>
      </c>
      <c r="D85" t="s">
        <v>39</v>
      </c>
      <c r="E85" t="s">
        <v>48</v>
      </c>
      <c r="F85">
        <v>33</v>
      </c>
      <c r="G85" t="s">
        <v>316</v>
      </c>
      <c r="H85">
        <v>0.67292618751525879</v>
      </c>
      <c r="I85">
        <v>0.95983749628067017</v>
      </c>
      <c r="K85">
        <v>0</v>
      </c>
      <c r="N85" t="s">
        <v>129</v>
      </c>
      <c r="O85">
        <v>1</v>
      </c>
      <c r="P85">
        <v>2150000</v>
      </c>
      <c r="Q85">
        <v>2150000</v>
      </c>
      <c r="S85" t="s">
        <v>317</v>
      </c>
      <c r="U85">
        <f t="shared" si="1"/>
        <v>0</v>
      </c>
    </row>
    <row r="86" spans="1:22" x14ac:dyDescent="0.35">
      <c r="A86" t="s">
        <v>280</v>
      </c>
      <c r="B86" t="s">
        <v>10</v>
      </c>
      <c r="C86" t="s">
        <v>39</v>
      </c>
      <c r="D86" t="s">
        <v>39</v>
      </c>
      <c r="E86" t="s">
        <v>70</v>
      </c>
      <c r="F86">
        <v>32</v>
      </c>
      <c r="G86" t="s">
        <v>281</v>
      </c>
      <c r="H86">
        <v>0.84156197309494019</v>
      </c>
      <c r="I86">
        <v>0.48005053400993347</v>
      </c>
      <c r="J86">
        <v>1</v>
      </c>
      <c r="K86">
        <v>6000000</v>
      </c>
      <c r="L86">
        <v>6000000</v>
      </c>
      <c r="N86" t="s">
        <v>102</v>
      </c>
      <c r="O86">
        <v>1</v>
      </c>
      <c r="P86">
        <v>4500000</v>
      </c>
      <c r="Q86">
        <v>4500000</v>
      </c>
      <c r="S86" t="s">
        <v>282</v>
      </c>
      <c r="U86">
        <f t="shared" si="1"/>
        <v>0</v>
      </c>
      <c r="V86">
        <v>0</v>
      </c>
    </row>
    <row r="87" spans="1:22" x14ac:dyDescent="0.35">
      <c r="A87" t="s">
        <v>609</v>
      </c>
      <c r="B87" t="s">
        <v>191</v>
      </c>
      <c r="C87" t="s">
        <v>39</v>
      </c>
      <c r="D87" t="s">
        <v>39</v>
      </c>
      <c r="E87" t="s">
        <v>81</v>
      </c>
      <c r="F87">
        <v>37</v>
      </c>
      <c r="G87" t="s">
        <v>278</v>
      </c>
      <c r="H87">
        <v>-6.2733389437198639E-2</v>
      </c>
      <c r="I87">
        <v>0.47512528300285339</v>
      </c>
      <c r="J87">
        <v>1</v>
      </c>
      <c r="K87">
        <v>3000000</v>
      </c>
      <c r="L87">
        <v>3000000</v>
      </c>
      <c r="N87" t="s">
        <v>125</v>
      </c>
      <c r="O87">
        <v>1</v>
      </c>
      <c r="P87">
        <v>4025000</v>
      </c>
      <c r="Q87">
        <v>4025000</v>
      </c>
      <c r="S87" t="s">
        <v>610</v>
      </c>
      <c r="U87">
        <f t="shared" si="1"/>
        <v>0</v>
      </c>
      <c r="V87">
        <v>0</v>
      </c>
    </row>
    <row r="88" spans="1:22" x14ac:dyDescent="0.35">
      <c r="A88" t="s">
        <v>276</v>
      </c>
      <c r="B88" t="s">
        <v>277</v>
      </c>
      <c r="C88" t="s">
        <v>39</v>
      </c>
      <c r="D88" t="s">
        <v>39</v>
      </c>
      <c r="E88" t="s">
        <v>42</v>
      </c>
      <c r="F88">
        <v>36</v>
      </c>
      <c r="G88" t="s">
        <v>278</v>
      </c>
      <c r="H88">
        <v>0.84329807758331299</v>
      </c>
      <c r="I88">
        <v>0.46673786640167236</v>
      </c>
      <c r="J88">
        <v>1</v>
      </c>
      <c r="K88">
        <v>8000000</v>
      </c>
      <c r="L88">
        <v>8000000</v>
      </c>
      <c r="N88" t="s">
        <v>81</v>
      </c>
      <c r="O88">
        <v>1</v>
      </c>
      <c r="P88">
        <v>1400000</v>
      </c>
      <c r="Q88">
        <v>1400000</v>
      </c>
      <c r="S88" t="s">
        <v>279</v>
      </c>
      <c r="U88">
        <f t="shared" si="1"/>
        <v>0</v>
      </c>
      <c r="V88">
        <v>0</v>
      </c>
    </row>
    <row r="89" spans="1:22" x14ac:dyDescent="0.35">
      <c r="A89" t="s">
        <v>650</v>
      </c>
      <c r="B89" t="s">
        <v>273</v>
      </c>
      <c r="C89" t="s">
        <v>39</v>
      </c>
      <c r="D89" t="s">
        <v>39</v>
      </c>
      <c r="E89" t="s">
        <v>56</v>
      </c>
      <c r="F89">
        <v>32</v>
      </c>
      <c r="G89" t="s">
        <v>651</v>
      </c>
      <c r="H89">
        <v>-0.17791733145713806</v>
      </c>
      <c r="I89">
        <v>0.4653795063495636</v>
      </c>
      <c r="J89">
        <v>1</v>
      </c>
      <c r="K89">
        <v>4000000</v>
      </c>
      <c r="L89">
        <v>4000000</v>
      </c>
      <c r="N89" t="s">
        <v>151</v>
      </c>
      <c r="O89">
        <v>1</v>
      </c>
      <c r="P89">
        <v>1750000</v>
      </c>
      <c r="Q89">
        <v>1750000</v>
      </c>
      <c r="S89" t="s">
        <v>652</v>
      </c>
      <c r="U89">
        <f t="shared" si="1"/>
        <v>0</v>
      </c>
      <c r="V89">
        <v>0</v>
      </c>
    </row>
    <row r="90" spans="1:22" x14ac:dyDescent="0.35">
      <c r="A90" t="s">
        <v>292</v>
      </c>
      <c r="B90" t="s">
        <v>293</v>
      </c>
      <c r="C90" t="s">
        <v>39</v>
      </c>
      <c r="D90" t="s">
        <v>39</v>
      </c>
      <c r="E90" t="s">
        <v>46</v>
      </c>
      <c r="F90">
        <v>37</v>
      </c>
      <c r="G90" t="s">
        <v>294</v>
      </c>
      <c r="H90">
        <v>0.77848356962203979</v>
      </c>
      <c r="I90">
        <v>0.44243860244750977</v>
      </c>
      <c r="K90">
        <v>0</v>
      </c>
      <c r="N90" t="s">
        <v>149</v>
      </c>
      <c r="O90">
        <v>1</v>
      </c>
      <c r="P90">
        <v>3500000</v>
      </c>
      <c r="Q90">
        <v>3500000</v>
      </c>
      <c r="S90" t="s">
        <v>295</v>
      </c>
      <c r="U90">
        <f t="shared" si="1"/>
        <v>0</v>
      </c>
      <c r="V90">
        <v>0</v>
      </c>
    </row>
    <row r="91" spans="1:22" x14ac:dyDescent="0.35">
      <c r="A91" t="s">
        <v>187</v>
      </c>
      <c r="B91" t="s">
        <v>9</v>
      </c>
      <c r="C91" t="s">
        <v>45</v>
      </c>
      <c r="D91" t="s">
        <v>39</v>
      </c>
      <c r="E91" t="s">
        <v>53</v>
      </c>
      <c r="F91">
        <v>37</v>
      </c>
      <c r="G91" t="s">
        <v>188</v>
      </c>
      <c r="H91">
        <v>1.4145267009735107</v>
      </c>
      <c r="I91">
        <v>0.440388023853302</v>
      </c>
      <c r="J91">
        <v>1</v>
      </c>
      <c r="K91">
        <v>12000000</v>
      </c>
      <c r="L91">
        <v>12000000</v>
      </c>
      <c r="N91" t="s">
        <v>62</v>
      </c>
      <c r="O91">
        <v>1</v>
      </c>
      <c r="P91">
        <v>10000000</v>
      </c>
      <c r="Q91">
        <v>10000000</v>
      </c>
      <c r="S91" t="s">
        <v>189</v>
      </c>
      <c r="U91">
        <f t="shared" si="1"/>
        <v>0</v>
      </c>
      <c r="V91">
        <v>0</v>
      </c>
    </row>
    <row r="92" spans="1:22" x14ac:dyDescent="0.35">
      <c r="A92" t="s">
        <v>283</v>
      </c>
      <c r="B92" t="s">
        <v>65</v>
      </c>
      <c r="C92" t="s">
        <v>33</v>
      </c>
      <c r="D92" t="s">
        <v>33</v>
      </c>
      <c r="E92" t="s">
        <v>51</v>
      </c>
      <c r="F92">
        <v>35</v>
      </c>
      <c r="G92" t="s">
        <v>284</v>
      </c>
      <c r="H92">
        <v>0.83742117881774902</v>
      </c>
      <c r="I92">
        <v>0.43120884895324707</v>
      </c>
      <c r="J92">
        <v>1</v>
      </c>
      <c r="K92">
        <v>6000000</v>
      </c>
      <c r="L92">
        <v>6000000</v>
      </c>
      <c r="N92" t="s">
        <v>46</v>
      </c>
      <c r="O92">
        <v>1</v>
      </c>
      <c r="P92">
        <v>1000000</v>
      </c>
      <c r="Q92">
        <v>1000000</v>
      </c>
      <c r="S92" t="s">
        <v>285</v>
      </c>
      <c r="U92">
        <f t="shared" si="1"/>
        <v>0</v>
      </c>
      <c r="V92">
        <v>0</v>
      </c>
    </row>
    <row r="93" spans="1:22" x14ac:dyDescent="0.35">
      <c r="A93" t="s">
        <v>508</v>
      </c>
      <c r="B93" t="s">
        <v>116</v>
      </c>
      <c r="C93" t="s">
        <v>39</v>
      </c>
      <c r="D93" t="s">
        <v>39</v>
      </c>
      <c r="E93" t="s">
        <v>134</v>
      </c>
      <c r="F93">
        <v>29</v>
      </c>
      <c r="G93" t="s">
        <v>290</v>
      </c>
      <c r="H93">
        <v>0.16543266177177429</v>
      </c>
      <c r="I93">
        <v>0.42910003662109375</v>
      </c>
      <c r="K93">
        <v>0</v>
      </c>
      <c r="N93" t="s">
        <v>70</v>
      </c>
      <c r="O93">
        <v>1</v>
      </c>
      <c r="P93">
        <v>5000000</v>
      </c>
      <c r="Q93">
        <v>5000000</v>
      </c>
      <c r="S93" t="s">
        <v>509</v>
      </c>
      <c r="U93">
        <f t="shared" si="1"/>
        <v>0</v>
      </c>
      <c r="V93">
        <v>0</v>
      </c>
    </row>
    <row r="94" spans="1:22" x14ac:dyDescent="0.35">
      <c r="A94" t="s">
        <v>456</v>
      </c>
      <c r="B94" t="s">
        <v>9</v>
      </c>
      <c r="C94" t="s">
        <v>39</v>
      </c>
      <c r="D94" t="s">
        <v>33</v>
      </c>
      <c r="E94" t="s">
        <v>51</v>
      </c>
      <c r="F94">
        <v>28</v>
      </c>
      <c r="G94" t="s">
        <v>457</v>
      </c>
      <c r="H94">
        <v>0.27226126194000244</v>
      </c>
      <c r="I94">
        <v>0.41508489847183228</v>
      </c>
      <c r="J94">
        <v>1</v>
      </c>
      <c r="K94">
        <v>3000000</v>
      </c>
      <c r="L94">
        <v>3000000</v>
      </c>
      <c r="N94" t="s">
        <v>125</v>
      </c>
      <c r="O94">
        <v>1</v>
      </c>
      <c r="P94">
        <v>3000000</v>
      </c>
      <c r="Q94">
        <v>3000000</v>
      </c>
      <c r="S94" t="s">
        <v>458</v>
      </c>
      <c r="U94">
        <f t="shared" si="1"/>
        <v>0</v>
      </c>
      <c r="V94">
        <v>0</v>
      </c>
    </row>
    <row r="95" spans="1:22" x14ac:dyDescent="0.35">
      <c r="A95" t="s">
        <v>144</v>
      </c>
      <c r="B95" t="s">
        <v>9</v>
      </c>
      <c r="C95" t="s">
        <v>33</v>
      </c>
      <c r="D95" t="s">
        <v>39</v>
      </c>
      <c r="E95" t="s">
        <v>97</v>
      </c>
      <c r="F95">
        <v>38</v>
      </c>
      <c r="G95" t="s">
        <v>145</v>
      </c>
      <c r="H95">
        <v>1.8954391479492188</v>
      </c>
      <c r="I95">
        <v>0.41145837306976318</v>
      </c>
      <c r="J95">
        <v>1</v>
      </c>
      <c r="K95">
        <v>9000000</v>
      </c>
      <c r="L95">
        <v>9000000</v>
      </c>
      <c r="N95" t="s">
        <v>66</v>
      </c>
      <c r="O95">
        <v>1</v>
      </c>
      <c r="P95">
        <v>13000000</v>
      </c>
      <c r="Q95">
        <v>13000000</v>
      </c>
      <c r="S95" t="s">
        <v>146</v>
      </c>
      <c r="U95">
        <f t="shared" si="1"/>
        <v>0</v>
      </c>
      <c r="V95">
        <v>0</v>
      </c>
    </row>
    <row r="96" spans="1:22" x14ac:dyDescent="0.35">
      <c r="A96" t="s">
        <v>496</v>
      </c>
      <c r="B96" t="s">
        <v>9</v>
      </c>
      <c r="C96" t="s">
        <v>39</v>
      </c>
      <c r="D96" t="s">
        <v>33</v>
      </c>
      <c r="E96" t="s">
        <v>100</v>
      </c>
      <c r="F96">
        <v>38</v>
      </c>
      <c r="G96" t="s">
        <v>497</v>
      </c>
      <c r="H96">
        <v>0.19309237599372864</v>
      </c>
      <c r="I96">
        <v>0.39941444993019104</v>
      </c>
      <c r="J96">
        <v>1</v>
      </c>
      <c r="K96">
        <v>3000000</v>
      </c>
      <c r="L96">
        <v>3000000</v>
      </c>
      <c r="N96" t="s">
        <v>104</v>
      </c>
      <c r="O96">
        <v>1</v>
      </c>
      <c r="P96">
        <v>2750000</v>
      </c>
      <c r="Q96">
        <v>2750000</v>
      </c>
      <c r="S96" t="s">
        <v>498</v>
      </c>
      <c r="U96">
        <f t="shared" si="1"/>
        <v>0</v>
      </c>
      <c r="V96">
        <v>0</v>
      </c>
    </row>
    <row r="97" spans="1:22" x14ac:dyDescent="0.35">
      <c r="A97" t="s">
        <v>272</v>
      </c>
      <c r="B97" t="s">
        <v>273</v>
      </c>
      <c r="C97" t="s">
        <v>39</v>
      </c>
      <c r="D97" t="s">
        <v>39</v>
      </c>
      <c r="E97" t="s">
        <v>48</v>
      </c>
      <c r="F97">
        <v>30</v>
      </c>
      <c r="G97" t="s">
        <v>274</v>
      </c>
      <c r="H97">
        <v>0.8853071928024292</v>
      </c>
      <c r="I97">
        <v>0.39796406030654913</v>
      </c>
      <c r="K97">
        <v>0</v>
      </c>
      <c r="N97" t="s">
        <v>56</v>
      </c>
      <c r="O97">
        <v>1</v>
      </c>
      <c r="P97">
        <v>4000000</v>
      </c>
      <c r="Q97">
        <v>4000000</v>
      </c>
      <c r="S97" t="s">
        <v>275</v>
      </c>
      <c r="U97">
        <f t="shared" si="1"/>
        <v>0</v>
      </c>
      <c r="V97">
        <v>0</v>
      </c>
    </row>
    <row r="98" spans="1:22" x14ac:dyDescent="0.35">
      <c r="A98" t="s">
        <v>673</v>
      </c>
      <c r="B98" t="s">
        <v>116</v>
      </c>
      <c r="C98" t="s">
        <v>39</v>
      </c>
      <c r="D98" t="s">
        <v>39</v>
      </c>
      <c r="E98" t="s">
        <v>100</v>
      </c>
      <c r="F98">
        <v>30</v>
      </c>
      <c r="G98" t="s">
        <v>674</v>
      </c>
      <c r="H98">
        <v>-0.20828850567340851</v>
      </c>
      <c r="I98">
        <v>0.38682490587234497</v>
      </c>
      <c r="K98">
        <v>0</v>
      </c>
      <c r="N98" t="s">
        <v>78</v>
      </c>
      <c r="O98">
        <v>1</v>
      </c>
      <c r="P98">
        <v>293548</v>
      </c>
      <c r="Q98">
        <v>293548</v>
      </c>
      <c r="S98" t="s">
        <v>675</v>
      </c>
      <c r="U98">
        <f t="shared" si="1"/>
        <v>0</v>
      </c>
      <c r="V98">
        <v>0</v>
      </c>
    </row>
    <row r="99" spans="1:22" x14ac:dyDescent="0.35">
      <c r="A99" t="s">
        <v>387</v>
      </c>
      <c r="B99" t="s">
        <v>3</v>
      </c>
      <c r="C99" t="s">
        <v>39</v>
      </c>
      <c r="D99" t="s">
        <v>39</v>
      </c>
      <c r="E99" t="s">
        <v>46</v>
      </c>
      <c r="F99">
        <v>34</v>
      </c>
      <c r="G99" t="s">
        <v>388</v>
      </c>
      <c r="H99">
        <v>0.47663778066635132</v>
      </c>
      <c r="I99">
        <v>0.38507866859436035</v>
      </c>
      <c r="K99">
        <v>0</v>
      </c>
      <c r="N99" t="s">
        <v>46</v>
      </c>
      <c r="O99">
        <v>1</v>
      </c>
      <c r="P99">
        <v>3500000</v>
      </c>
      <c r="Q99">
        <v>3500000</v>
      </c>
      <c r="S99" t="s">
        <v>389</v>
      </c>
      <c r="U99">
        <f t="shared" si="1"/>
        <v>0</v>
      </c>
      <c r="V99">
        <v>1</v>
      </c>
    </row>
    <row r="100" spans="1:22" x14ac:dyDescent="0.35">
      <c r="A100" t="s">
        <v>289</v>
      </c>
      <c r="B100" t="s">
        <v>10</v>
      </c>
      <c r="C100" t="s">
        <v>39</v>
      </c>
      <c r="D100" t="s">
        <v>39</v>
      </c>
      <c r="E100" t="s">
        <v>40</v>
      </c>
      <c r="F100">
        <v>34</v>
      </c>
      <c r="G100" t="s">
        <v>290</v>
      </c>
      <c r="H100">
        <v>0.80433559417724609</v>
      </c>
      <c r="I100">
        <v>0.38284176588058472</v>
      </c>
      <c r="K100">
        <v>0</v>
      </c>
      <c r="N100" t="s">
        <v>104</v>
      </c>
      <c r="O100">
        <v>1</v>
      </c>
      <c r="P100">
        <v>5000000</v>
      </c>
      <c r="Q100">
        <v>5000000</v>
      </c>
      <c r="S100" t="s">
        <v>291</v>
      </c>
      <c r="U100">
        <f t="shared" si="1"/>
        <v>0</v>
      </c>
      <c r="V100">
        <v>0</v>
      </c>
    </row>
    <row r="101" spans="1:22" hidden="1" x14ac:dyDescent="0.35">
      <c r="A101" t="s">
        <v>367</v>
      </c>
      <c r="B101" t="s">
        <v>368</v>
      </c>
      <c r="C101" t="s">
        <v>39</v>
      </c>
      <c r="D101" t="s">
        <v>39</v>
      </c>
      <c r="E101" t="s">
        <v>100</v>
      </c>
      <c r="F101">
        <v>34</v>
      </c>
      <c r="G101" t="s">
        <v>369</v>
      </c>
      <c r="H101">
        <v>0.51570010185241699</v>
      </c>
      <c r="I101">
        <v>0.17462193965911865</v>
      </c>
      <c r="K101">
        <v>0</v>
      </c>
      <c r="N101" t="s">
        <v>254</v>
      </c>
      <c r="O101">
        <v>1</v>
      </c>
      <c r="P101">
        <v>3250000</v>
      </c>
      <c r="Q101">
        <v>3250000</v>
      </c>
      <c r="S101" t="s">
        <v>370</v>
      </c>
      <c r="U101">
        <f t="shared" si="1"/>
        <v>0</v>
      </c>
    </row>
    <row r="102" spans="1:22" hidden="1" x14ac:dyDescent="0.35">
      <c r="A102" t="s">
        <v>633</v>
      </c>
      <c r="B102" t="s">
        <v>10</v>
      </c>
      <c r="C102" t="s">
        <v>33</v>
      </c>
      <c r="D102" t="s">
        <v>33</v>
      </c>
      <c r="E102" t="s">
        <v>40</v>
      </c>
      <c r="F102">
        <v>38</v>
      </c>
      <c r="G102" t="s">
        <v>634</v>
      </c>
      <c r="H102">
        <v>-0.11162987351417542</v>
      </c>
      <c r="I102">
        <v>0.37820380926132202</v>
      </c>
      <c r="K102">
        <v>0</v>
      </c>
      <c r="N102" t="s">
        <v>70</v>
      </c>
      <c r="O102">
        <v>1</v>
      </c>
      <c r="P102">
        <v>0</v>
      </c>
      <c r="S102" t="s">
        <v>635</v>
      </c>
      <c r="U102">
        <f t="shared" si="1"/>
        <v>1</v>
      </c>
    </row>
    <row r="103" spans="1:22" x14ac:dyDescent="0.35">
      <c r="A103" t="s">
        <v>633</v>
      </c>
      <c r="B103" t="s">
        <v>10</v>
      </c>
      <c r="C103" t="s">
        <v>33</v>
      </c>
      <c r="D103" t="s">
        <v>33</v>
      </c>
      <c r="E103" t="s">
        <v>40</v>
      </c>
      <c r="F103">
        <v>38</v>
      </c>
      <c r="G103" t="s">
        <v>634</v>
      </c>
      <c r="H103">
        <v>-0.11162987351417542</v>
      </c>
      <c r="I103">
        <v>0.37820380926132202</v>
      </c>
      <c r="K103">
        <v>0</v>
      </c>
      <c r="N103" t="s">
        <v>70</v>
      </c>
      <c r="O103">
        <v>1</v>
      </c>
      <c r="P103">
        <v>1572581</v>
      </c>
      <c r="Q103">
        <v>1572581</v>
      </c>
      <c r="S103" t="s">
        <v>635</v>
      </c>
      <c r="U103">
        <f t="shared" si="1"/>
        <v>0</v>
      </c>
      <c r="V103">
        <v>0</v>
      </c>
    </row>
    <row r="104" spans="1:22" hidden="1" x14ac:dyDescent="0.35">
      <c r="A104" t="s">
        <v>377</v>
      </c>
      <c r="B104" t="s">
        <v>4</v>
      </c>
      <c r="C104" t="s">
        <v>39</v>
      </c>
      <c r="D104" t="s">
        <v>39</v>
      </c>
      <c r="E104" t="s">
        <v>46</v>
      </c>
      <c r="F104">
        <v>35</v>
      </c>
      <c r="G104" t="s">
        <v>378</v>
      </c>
      <c r="H104">
        <v>0.49038609862327576</v>
      </c>
      <c r="I104">
        <v>7.3969489894807339E-3</v>
      </c>
      <c r="K104">
        <v>0</v>
      </c>
      <c r="S104" t="s">
        <v>379</v>
      </c>
      <c r="U104">
        <f t="shared" si="1"/>
        <v>1</v>
      </c>
    </row>
    <row r="105" spans="1:22" x14ac:dyDescent="0.35">
      <c r="A105" t="s">
        <v>380</v>
      </c>
      <c r="B105" t="s">
        <v>381</v>
      </c>
      <c r="C105" t="s">
        <v>39</v>
      </c>
      <c r="D105" t="s">
        <v>39</v>
      </c>
      <c r="E105" t="s">
        <v>81</v>
      </c>
      <c r="F105">
        <v>30</v>
      </c>
      <c r="G105" t="s">
        <v>382</v>
      </c>
      <c r="H105">
        <v>0.48683470487594604</v>
      </c>
      <c r="I105">
        <v>8.0123461782932281E-2</v>
      </c>
      <c r="K105">
        <v>0</v>
      </c>
      <c r="N105" t="s">
        <v>58</v>
      </c>
      <c r="O105">
        <v>1</v>
      </c>
      <c r="P105">
        <v>1500000</v>
      </c>
      <c r="Q105">
        <v>1500000</v>
      </c>
      <c r="S105" t="s">
        <v>383</v>
      </c>
      <c r="U105">
        <f t="shared" si="1"/>
        <v>0</v>
      </c>
      <c r="V105">
        <v>0</v>
      </c>
    </row>
    <row r="106" spans="1:22" x14ac:dyDescent="0.35">
      <c r="A106" t="s">
        <v>340</v>
      </c>
      <c r="B106" t="s">
        <v>65</v>
      </c>
      <c r="C106" t="s">
        <v>33</v>
      </c>
      <c r="D106" t="s">
        <v>33</v>
      </c>
      <c r="E106" t="s">
        <v>34</v>
      </c>
      <c r="F106">
        <v>29</v>
      </c>
      <c r="G106" t="s">
        <v>341</v>
      </c>
      <c r="H106">
        <v>0.60074925422668457</v>
      </c>
      <c r="I106">
        <v>0.3627261221408844</v>
      </c>
      <c r="J106">
        <v>2</v>
      </c>
      <c r="K106">
        <v>16000000</v>
      </c>
      <c r="L106">
        <v>8000000</v>
      </c>
      <c r="N106" t="s">
        <v>48</v>
      </c>
      <c r="O106">
        <v>1</v>
      </c>
      <c r="P106">
        <v>1500000</v>
      </c>
      <c r="Q106">
        <v>1500000</v>
      </c>
      <c r="S106" t="s">
        <v>342</v>
      </c>
      <c r="U106">
        <f t="shared" si="1"/>
        <v>0</v>
      </c>
      <c r="V106">
        <v>0</v>
      </c>
    </row>
    <row r="107" spans="1:22" x14ac:dyDescent="0.35">
      <c r="A107" t="s">
        <v>516</v>
      </c>
      <c r="B107" t="s">
        <v>9</v>
      </c>
      <c r="C107" t="s">
        <v>39</v>
      </c>
      <c r="D107" t="s">
        <v>39</v>
      </c>
      <c r="E107" t="s">
        <v>34</v>
      </c>
      <c r="F107">
        <v>30</v>
      </c>
      <c r="G107" t="s">
        <v>517</v>
      </c>
      <c r="H107">
        <v>0.14712072908878326</v>
      </c>
      <c r="I107">
        <v>0.35956120491027832</v>
      </c>
      <c r="J107">
        <v>1</v>
      </c>
      <c r="K107">
        <v>3000000</v>
      </c>
      <c r="L107">
        <v>3000000</v>
      </c>
      <c r="N107" t="s">
        <v>34</v>
      </c>
      <c r="O107">
        <v>1</v>
      </c>
      <c r="P107">
        <v>5000000</v>
      </c>
      <c r="Q107">
        <v>5000000</v>
      </c>
      <c r="S107" t="s">
        <v>518</v>
      </c>
      <c r="U107">
        <f t="shared" si="1"/>
        <v>0</v>
      </c>
      <c r="V107">
        <v>0</v>
      </c>
    </row>
    <row r="108" spans="1:22" x14ac:dyDescent="0.35">
      <c r="A108" t="s">
        <v>266</v>
      </c>
      <c r="B108" t="s">
        <v>10</v>
      </c>
      <c r="C108" t="s">
        <v>39</v>
      </c>
      <c r="D108" t="s">
        <v>39</v>
      </c>
      <c r="E108" t="s">
        <v>40</v>
      </c>
      <c r="F108">
        <v>32</v>
      </c>
      <c r="G108" t="s">
        <v>267</v>
      </c>
      <c r="H108">
        <v>0.89216291904449463</v>
      </c>
      <c r="I108">
        <v>0.35128909349441528</v>
      </c>
      <c r="K108">
        <v>0</v>
      </c>
      <c r="N108" t="s">
        <v>134</v>
      </c>
      <c r="O108">
        <v>1</v>
      </c>
      <c r="P108">
        <v>4000000</v>
      </c>
      <c r="Q108">
        <v>4000000</v>
      </c>
      <c r="S108" t="s">
        <v>268</v>
      </c>
      <c r="U108">
        <f t="shared" si="1"/>
        <v>0</v>
      </c>
      <c r="V108">
        <v>0</v>
      </c>
    </row>
    <row r="109" spans="1:22" x14ac:dyDescent="0.35">
      <c r="A109" t="s">
        <v>173</v>
      </c>
      <c r="B109" t="s">
        <v>116</v>
      </c>
      <c r="C109" t="s">
        <v>39</v>
      </c>
      <c r="D109" t="s">
        <v>39</v>
      </c>
      <c r="E109" t="s">
        <v>58</v>
      </c>
      <c r="F109">
        <v>33</v>
      </c>
      <c r="G109" t="s">
        <v>174</v>
      </c>
      <c r="H109">
        <v>1.5948176383972168</v>
      </c>
      <c r="I109">
        <v>0.34064528346061707</v>
      </c>
      <c r="K109">
        <v>0</v>
      </c>
      <c r="N109" t="s">
        <v>58</v>
      </c>
      <c r="O109">
        <v>1</v>
      </c>
      <c r="P109">
        <v>5000000</v>
      </c>
      <c r="Q109">
        <v>5000000</v>
      </c>
      <c r="S109" t="s">
        <v>175</v>
      </c>
      <c r="U109">
        <f t="shared" si="1"/>
        <v>0</v>
      </c>
      <c r="V109">
        <v>0</v>
      </c>
    </row>
    <row r="110" spans="1:22" x14ac:dyDescent="0.35">
      <c r="A110" t="s">
        <v>502</v>
      </c>
      <c r="B110" t="s">
        <v>9</v>
      </c>
      <c r="C110" t="s">
        <v>39</v>
      </c>
      <c r="D110" t="s">
        <v>39</v>
      </c>
      <c r="E110" t="s">
        <v>56</v>
      </c>
      <c r="F110">
        <v>37</v>
      </c>
      <c r="G110" t="s">
        <v>503</v>
      </c>
      <c r="H110">
        <v>0.17800724506378174</v>
      </c>
      <c r="I110">
        <v>0.31330904364585876</v>
      </c>
      <c r="J110">
        <v>1</v>
      </c>
      <c r="K110">
        <v>6000000</v>
      </c>
      <c r="L110">
        <v>6000000</v>
      </c>
      <c r="N110" t="s">
        <v>48</v>
      </c>
      <c r="O110">
        <v>1</v>
      </c>
      <c r="P110">
        <v>44444</v>
      </c>
      <c r="Q110">
        <v>44444</v>
      </c>
      <c r="S110" t="s">
        <v>504</v>
      </c>
      <c r="U110">
        <f t="shared" si="1"/>
        <v>0</v>
      </c>
      <c r="V110">
        <v>0</v>
      </c>
    </row>
    <row r="111" spans="1:22" hidden="1" x14ac:dyDescent="0.35">
      <c r="A111" t="s">
        <v>399</v>
      </c>
      <c r="B111" t="s">
        <v>400</v>
      </c>
      <c r="C111" t="s">
        <v>39</v>
      </c>
      <c r="D111" t="s">
        <v>39</v>
      </c>
      <c r="E111" t="s">
        <v>48</v>
      </c>
      <c r="F111">
        <v>36</v>
      </c>
      <c r="G111" t="s">
        <v>401</v>
      </c>
      <c r="H111">
        <v>0.44866546988487244</v>
      </c>
      <c r="I111">
        <v>0.19551056623458862</v>
      </c>
      <c r="K111">
        <v>0</v>
      </c>
      <c r="S111" t="s">
        <v>402</v>
      </c>
      <c r="U111">
        <f t="shared" si="1"/>
        <v>1</v>
      </c>
    </row>
    <row r="112" spans="1:22" x14ac:dyDescent="0.35">
      <c r="A112" t="s">
        <v>502</v>
      </c>
      <c r="B112" t="s">
        <v>9</v>
      </c>
      <c r="C112" t="s">
        <v>39</v>
      </c>
      <c r="D112" t="s">
        <v>39</v>
      </c>
      <c r="E112" t="s">
        <v>56</v>
      </c>
      <c r="F112">
        <v>37</v>
      </c>
      <c r="G112" t="s">
        <v>503</v>
      </c>
      <c r="H112">
        <v>0.17800724506378174</v>
      </c>
      <c r="I112">
        <v>0.31330904364585876</v>
      </c>
      <c r="J112">
        <v>1</v>
      </c>
      <c r="K112">
        <v>6000000</v>
      </c>
      <c r="L112">
        <v>6000000</v>
      </c>
      <c r="N112" t="s">
        <v>51</v>
      </c>
      <c r="O112">
        <v>1</v>
      </c>
      <c r="S112" t="s">
        <v>504</v>
      </c>
      <c r="U112">
        <f t="shared" si="1"/>
        <v>0</v>
      </c>
      <c r="V112">
        <v>0</v>
      </c>
    </row>
    <row r="113" spans="1:22" x14ac:dyDescent="0.35">
      <c r="A113" t="s">
        <v>225</v>
      </c>
      <c r="B113" t="s">
        <v>9</v>
      </c>
      <c r="C113" t="s">
        <v>39</v>
      </c>
      <c r="D113" t="s">
        <v>39</v>
      </c>
      <c r="E113" t="s">
        <v>134</v>
      </c>
      <c r="F113">
        <v>32</v>
      </c>
      <c r="G113" t="s">
        <v>226</v>
      </c>
      <c r="H113">
        <v>1.1321791410446167</v>
      </c>
      <c r="I113">
        <v>0.31182423233985901</v>
      </c>
      <c r="J113">
        <v>2</v>
      </c>
      <c r="K113">
        <v>18000000</v>
      </c>
      <c r="L113">
        <v>9000000</v>
      </c>
      <c r="N113" t="s">
        <v>81</v>
      </c>
      <c r="O113">
        <v>2</v>
      </c>
      <c r="P113">
        <v>22200000</v>
      </c>
      <c r="Q113">
        <v>11100000</v>
      </c>
      <c r="S113" t="s">
        <v>227</v>
      </c>
      <c r="U113">
        <f t="shared" si="1"/>
        <v>0</v>
      </c>
      <c r="V113">
        <v>0</v>
      </c>
    </row>
    <row r="114" spans="1:22" hidden="1" x14ac:dyDescent="0.35">
      <c r="A114" t="s">
        <v>406</v>
      </c>
      <c r="B114" t="s">
        <v>6</v>
      </c>
      <c r="C114" t="s">
        <v>39</v>
      </c>
      <c r="D114" t="s">
        <v>39</v>
      </c>
      <c r="E114" t="s">
        <v>125</v>
      </c>
      <c r="F114">
        <v>34</v>
      </c>
      <c r="G114" t="s">
        <v>407</v>
      </c>
      <c r="H114">
        <v>0.42206385731697083</v>
      </c>
      <c r="I114">
        <v>0.21631048619747162</v>
      </c>
      <c r="J114">
        <v>1</v>
      </c>
      <c r="K114">
        <v>4000000</v>
      </c>
      <c r="L114">
        <v>4000000</v>
      </c>
      <c r="N114" t="s">
        <v>151</v>
      </c>
      <c r="O114">
        <v>1</v>
      </c>
      <c r="P114">
        <v>1950000</v>
      </c>
      <c r="Q114">
        <v>1950000</v>
      </c>
      <c r="S114" t="s">
        <v>408</v>
      </c>
      <c r="U114">
        <f t="shared" si="1"/>
        <v>0</v>
      </c>
    </row>
    <row r="115" spans="1:22" x14ac:dyDescent="0.35">
      <c r="A115" t="s">
        <v>306</v>
      </c>
      <c r="B115" t="s">
        <v>9</v>
      </c>
      <c r="C115" t="s">
        <v>39</v>
      </c>
      <c r="D115" t="s">
        <v>39</v>
      </c>
      <c r="E115" t="s">
        <v>104</v>
      </c>
      <c r="F115">
        <v>34</v>
      </c>
      <c r="G115" t="s">
        <v>307</v>
      </c>
      <c r="H115">
        <v>0.68513780832290649</v>
      </c>
      <c r="I115">
        <v>0.3056509792804718</v>
      </c>
      <c r="K115">
        <v>0</v>
      </c>
      <c r="N115" t="s">
        <v>97</v>
      </c>
      <c r="O115">
        <v>1</v>
      </c>
      <c r="P115">
        <v>1250000</v>
      </c>
      <c r="Q115">
        <v>1250000</v>
      </c>
      <c r="S115" t="s">
        <v>308</v>
      </c>
      <c r="U115">
        <f t="shared" si="1"/>
        <v>0</v>
      </c>
      <c r="V115">
        <v>0</v>
      </c>
    </row>
    <row r="116" spans="1:22" x14ac:dyDescent="0.35">
      <c r="A116" t="s">
        <v>782</v>
      </c>
      <c r="B116" t="s">
        <v>783</v>
      </c>
      <c r="C116" t="s">
        <v>39</v>
      </c>
      <c r="D116" t="s">
        <v>39</v>
      </c>
      <c r="E116" t="s">
        <v>56</v>
      </c>
      <c r="F116">
        <v>28</v>
      </c>
      <c r="G116" t="s">
        <v>61</v>
      </c>
      <c r="H116">
        <v>-0.92764467000961304</v>
      </c>
      <c r="I116">
        <v>0.30552631616592413</v>
      </c>
      <c r="J116">
        <v>1</v>
      </c>
      <c r="K116">
        <v>6000000</v>
      </c>
      <c r="L116">
        <v>6000000</v>
      </c>
      <c r="N116" t="s">
        <v>110</v>
      </c>
      <c r="O116">
        <v>1</v>
      </c>
      <c r="P116">
        <v>0</v>
      </c>
      <c r="S116" t="s">
        <v>784</v>
      </c>
      <c r="U116">
        <f t="shared" si="1"/>
        <v>0</v>
      </c>
      <c r="V116">
        <v>0</v>
      </c>
    </row>
    <row r="117" spans="1:22" x14ac:dyDescent="0.35">
      <c r="A117" t="s">
        <v>585</v>
      </c>
      <c r="B117" t="s">
        <v>9</v>
      </c>
      <c r="C117" t="s">
        <v>39</v>
      </c>
      <c r="D117" t="s">
        <v>39</v>
      </c>
      <c r="E117" t="s">
        <v>66</v>
      </c>
      <c r="F117">
        <v>37</v>
      </c>
      <c r="G117" t="s">
        <v>586</v>
      </c>
      <c r="H117">
        <v>-1.9738445058465004E-2</v>
      </c>
      <c r="I117">
        <v>0.30102184414863586</v>
      </c>
      <c r="J117">
        <v>1</v>
      </c>
      <c r="K117">
        <v>5000000</v>
      </c>
      <c r="L117">
        <v>5000000</v>
      </c>
      <c r="S117" t="s">
        <v>587</v>
      </c>
      <c r="U117">
        <f t="shared" si="1"/>
        <v>0</v>
      </c>
      <c r="V117">
        <v>0</v>
      </c>
    </row>
    <row r="118" spans="1:22" hidden="1" x14ac:dyDescent="0.35">
      <c r="A118" t="s">
        <v>418</v>
      </c>
      <c r="B118" t="s">
        <v>1</v>
      </c>
      <c r="C118" t="s">
        <v>39</v>
      </c>
      <c r="D118" t="s">
        <v>39</v>
      </c>
      <c r="E118" t="s">
        <v>42</v>
      </c>
      <c r="F118">
        <v>29</v>
      </c>
      <c r="G118" t="s">
        <v>419</v>
      </c>
      <c r="H118">
        <v>0.39582669734954834</v>
      </c>
      <c r="I118">
        <v>1.1429547071456909</v>
      </c>
      <c r="J118">
        <v>1</v>
      </c>
      <c r="K118">
        <v>6000000</v>
      </c>
      <c r="L118">
        <v>6000000</v>
      </c>
      <c r="N118" t="s">
        <v>254</v>
      </c>
      <c r="O118">
        <v>1</v>
      </c>
      <c r="P118">
        <v>4000000</v>
      </c>
      <c r="Q118">
        <v>4000000</v>
      </c>
      <c r="S118" t="s">
        <v>420</v>
      </c>
      <c r="U118">
        <f t="shared" si="1"/>
        <v>0</v>
      </c>
    </row>
    <row r="119" spans="1:22" x14ac:dyDescent="0.35">
      <c r="A119" t="s">
        <v>353</v>
      </c>
      <c r="B119" t="s">
        <v>9</v>
      </c>
      <c r="C119" t="s">
        <v>33</v>
      </c>
      <c r="D119" t="s">
        <v>33</v>
      </c>
      <c r="E119" t="s">
        <v>56</v>
      </c>
      <c r="F119">
        <v>35</v>
      </c>
      <c r="G119" t="s">
        <v>354</v>
      </c>
      <c r="H119">
        <v>0.53618401288986206</v>
      </c>
      <c r="I119">
        <v>0.29656922817230225</v>
      </c>
      <c r="K119">
        <v>0</v>
      </c>
      <c r="N119" t="s">
        <v>100</v>
      </c>
      <c r="O119">
        <v>1</v>
      </c>
      <c r="P119">
        <v>3000000</v>
      </c>
      <c r="Q119">
        <v>3000000</v>
      </c>
      <c r="S119" t="s">
        <v>355</v>
      </c>
      <c r="U119">
        <f t="shared" si="1"/>
        <v>0</v>
      </c>
      <c r="V119">
        <v>0</v>
      </c>
    </row>
    <row r="120" spans="1:22" hidden="1" x14ac:dyDescent="0.35">
      <c r="A120" t="s">
        <v>231</v>
      </c>
      <c r="B120" t="s">
        <v>10</v>
      </c>
      <c r="C120" t="s">
        <v>39</v>
      </c>
      <c r="D120" t="s">
        <v>39</v>
      </c>
      <c r="E120" t="s">
        <v>129</v>
      </c>
      <c r="F120">
        <v>35</v>
      </c>
      <c r="G120" t="s">
        <v>232</v>
      </c>
      <c r="H120">
        <v>1.1064356565475464</v>
      </c>
      <c r="I120">
        <v>0.29635521769523621</v>
      </c>
      <c r="K120">
        <v>0</v>
      </c>
      <c r="S120" t="s">
        <v>233</v>
      </c>
      <c r="U120">
        <f t="shared" si="1"/>
        <v>1</v>
      </c>
    </row>
    <row r="121" spans="1:22" x14ac:dyDescent="0.35">
      <c r="A121" t="s">
        <v>707</v>
      </c>
      <c r="B121" t="s">
        <v>9</v>
      </c>
      <c r="C121" t="s">
        <v>39</v>
      </c>
      <c r="D121" t="s">
        <v>39</v>
      </c>
      <c r="E121" t="s">
        <v>86</v>
      </c>
      <c r="F121">
        <v>32</v>
      </c>
      <c r="G121" t="s">
        <v>708</v>
      </c>
      <c r="H121">
        <v>-0.29238122701644897</v>
      </c>
      <c r="I121">
        <v>0.2919904887676239</v>
      </c>
      <c r="K121">
        <v>0</v>
      </c>
      <c r="N121" t="s">
        <v>134</v>
      </c>
      <c r="O121">
        <v>1</v>
      </c>
      <c r="P121">
        <v>8500000</v>
      </c>
      <c r="Q121">
        <v>8500000</v>
      </c>
      <c r="S121" t="s">
        <v>709</v>
      </c>
      <c r="U121">
        <f t="shared" si="1"/>
        <v>0</v>
      </c>
      <c r="V121">
        <v>0</v>
      </c>
    </row>
    <row r="122" spans="1:22" x14ac:dyDescent="0.35">
      <c r="A122" t="s">
        <v>588</v>
      </c>
      <c r="B122" t="s">
        <v>9</v>
      </c>
      <c r="C122" t="s">
        <v>39</v>
      </c>
      <c r="D122" t="s">
        <v>39</v>
      </c>
      <c r="E122" t="s">
        <v>141</v>
      </c>
      <c r="F122">
        <v>33</v>
      </c>
      <c r="G122" t="s">
        <v>589</v>
      </c>
      <c r="H122">
        <v>-2.1173315122723579E-2</v>
      </c>
      <c r="I122">
        <v>0.28041326999664307</v>
      </c>
      <c r="K122">
        <v>0</v>
      </c>
      <c r="N122" t="s">
        <v>141</v>
      </c>
      <c r="O122">
        <v>1</v>
      </c>
      <c r="P122">
        <v>6000000</v>
      </c>
      <c r="Q122">
        <v>5589304</v>
      </c>
      <c r="S122" t="s">
        <v>590</v>
      </c>
      <c r="U122">
        <f t="shared" si="1"/>
        <v>0</v>
      </c>
      <c r="V122">
        <v>0</v>
      </c>
    </row>
    <row r="123" spans="1:22" x14ac:dyDescent="0.35">
      <c r="A123" t="s">
        <v>530</v>
      </c>
      <c r="B123" t="s">
        <v>9</v>
      </c>
      <c r="C123" t="s">
        <v>33</v>
      </c>
      <c r="D123" t="s">
        <v>39</v>
      </c>
      <c r="E123" t="s">
        <v>48</v>
      </c>
      <c r="F123">
        <v>35</v>
      </c>
      <c r="G123" t="s">
        <v>531</v>
      </c>
      <c r="H123">
        <v>0.12382979691028595</v>
      </c>
      <c r="I123">
        <v>0.27049711346626282</v>
      </c>
      <c r="K123">
        <v>0</v>
      </c>
      <c r="N123" t="s">
        <v>78</v>
      </c>
      <c r="O123">
        <v>1</v>
      </c>
      <c r="P123">
        <v>2750000</v>
      </c>
      <c r="Q123">
        <v>2750000</v>
      </c>
      <c r="S123" t="s">
        <v>532</v>
      </c>
      <c r="U123">
        <f t="shared" si="1"/>
        <v>0</v>
      </c>
      <c r="V123">
        <v>0</v>
      </c>
    </row>
    <row r="124" spans="1:22" x14ac:dyDescent="0.35">
      <c r="A124" t="s">
        <v>330</v>
      </c>
      <c r="B124" t="s">
        <v>9</v>
      </c>
      <c r="C124" t="s">
        <v>33</v>
      </c>
      <c r="D124" t="s">
        <v>33</v>
      </c>
      <c r="E124" t="s">
        <v>125</v>
      </c>
      <c r="F124">
        <v>31</v>
      </c>
      <c r="G124" t="s">
        <v>331</v>
      </c>
      <c r="H124">
        <v>0.62919342517852783</v>
      </c>
      <c r="I124">
        <v>0.2697654664516449</v>
      </c>
      <c r="K124">
        <v>0</v>
      </c>
      <c r="N124" t="s">
        <v>58</v>
      </c>
      <c r="O124">
        <v>1</v>
      </c>
      <c r="P124">
        <v>1250000</v>
      </c>
      <c r="Q124">
        <v>1250000</v>
      </c>
      <c r="S124" t="s">
        <v>332</v>
      </c>
      <c r="U124">
        <f t="shared" si="1"/>
        <v>0</v>
      </c>
      <c r="V124">
        <v>0</v>
      </c>
    </row>
    <row r="125" spans="1:22" hidden="1" x14ac:dyDescent="0.35">
      <c r="A125" t="s">
        <v>440</v>
      </c>
      <c r="B125" t="s">
        <v>441</v>
      </c>
      <c r="C125" t="s">
        <v>45</v>
      </c>
      <c r="D125" t="s">
        <v>39</v>
      </c>
      <c r="E125" t="s">
        <v>149</v>
      </c>
      <c r="F125">
        <v>31</v>
      </c>
      <c r="G125" t="s">
        <v>442</v>
      </c>
      <c r="H125">
        <v>0.32113668322563171</v>
      </c>
      <c r="I125">
        <v>1.7086746692657471</v>
      </c>
      <c r="K125">
        <v>0</v>
      </c>
      <c r="N125" t="s">
        <v>149</v>
      </c>
      <c r="O125">
        <v>2</v>
      </c>
      <c r="P125">
        <v>13000000</v>
      </c>
      <c r="Q125">
        <v>6500000</v>
      </c>
      <c r="S125" t="s">
        <v>443</v>
      </c>
      <c r="U125">
        <f t="shared" si="1"/>
        <v>0</v>
      </c>
    </row>
    <row r="126" spans="1:22" hidden="1" x14ac:dyDescent="0.35">
      <c r="A126" t="s">
        <v>471</v>
      </c>
      <c r="B126" t="s">
        <v>3</v>
      </c>
      <c r="C126" t="s">
        <v>39</v>
      </c>
      <c r="D126" t="s">
        <v>39</v>
      </c>
      <c r="E126" t="s">
        <v>104</v>
      </c>
      <c r="F126">
        <v>33</v>
      </c>
      <c r="G126" t="s">
        <v>472</v>
      </c>
      <c r="H126">
        <v>0.22032396495342255</v>
      </c>
      <c r="I126">
        <v>0.26815599203109741</v>
      </c>
      <c r="K126">
        <v>0</v>
      </c>
      <c r="N126" t="s">
        <v>86</v>
      </c>
      <c r="O126">
        <v>1</v>
      </c>
      <c r="P126">
        <v>0</v>
      </c>
      <c r="S126" t="s">
        <v>473</v>
      </c>
      <c r="U126">
        <f t="shared" si="1"/>
        <v>1</v>
      </c>
    </row>
    <row r="127" spans="1:22" x14ac:dyDescent="0.35">
      <c r="A127" t="s">
        <v>363</v>
      </c>
      <c r="B127" t="s">
        <v>364</v>
      </c>
      <c r="C127" t="s">
        <v>39</v>
      </c>
      <c r="D127" t="s">
        <v>39</v>
      </c>
      <c r="E127" t="s">
        <v>125</v>
      </c>
      <c r="F127">
        <v>32</v>
      </c>
      <c r="G127" t="s">
        <v>365</v>
      </c>
      <c r="H127">
        <v>0.51880383491516113</v>
      </c>
      <c r="I127">
        <v>0.26601451635360718</v>
      </c>
      <c r="K127">
        <v>0</v>
      </c>
      <c r="N127" t="s">
        <v>46</v>
      </c>
      <c r="O127">
        <v>1</v>
      </c>
      <c r="P127">
        <v>1000000</v>
      </c>
      <c r="Q127">
        <v>1000000</v>
      </c>
      <c r="S127" t="s">
        <v>366</v>
      </c>
      <c r="U127">
        <f t="shared" si="1"/>
        <v>0</v>
      </c>
      <c r="V127">
        <v>0</v>
      </c>
    </row>
    <row r="128" spans="1:22" hidden="1" x14ac:dyDescent="0.35">
      <c r="A128" t="s">
        <v>450</v>
      </c>
      <c r="B128" t="s">
        <v>2</v>
      </c>
      <c r="C128" t="s">
        <v>45</v>
      </c>
      <c r="D128" t="s">
        <v>39</v>
      </c>
      <c r="E128" t="s">
        <v>151</v>
      </c>
      <c r="F128">
        <v>30</v>
      </c>
      <c r="G128" t="s">
        <v>451</v>
      </c>
      <c r="H128">
        <v>0.27573439478874207</v>
      </c>
      <c r="I128">
        <v>0.85249525308609009</v>
      </c>
      <c r="K128">
        <v>0</v>
      </c>
      <c r="N128" t="s">
        <v>62</v>
      </c>
      <c r="O128">
        <v>1</v>
      </c>
      <c r="P128">
        <v>5000000</v>
      </c>
      <c r="Q128">
        <v>5000000</v>
      </c>
      <c r="S128" t="s">
        <v>452</v>
      </c>
      <c r="U128">
        <f t="shared" si="1"/>
        <v>0</v>
      </c>
    </row>
    <row r="129" spans="1:22" x14ac:dyDescent="0.35">
      <c r="A129" t="s">
        <v>257</v>
      </c>
      <c r="B129" t="s">
        <v>9</v>
      </c>
      <c r="C129" t="s">
        <v>33</v>
      </c>
      <c r="D129" t="s">
        <v>33</v>
      </c>
      <c r="E129" t="s">
        <v>40</v>
      </c>
      <c r="F129">
        <v>34</v>
      </c>
      <c r="G129" t="s">
        <v>258</v>
      </c>
      <c r="H129">
        <v>0.89884853363037109</v>
      </c>
      <c r="I129">
        <v>0.25459596514701843</v>
      </c>
      <c r="K129">
        <v>0</v>
      </c>
      <c r="N129" t="s">
        <v>97</v>
      </c>
      <c r="O129">
        <v>1</v>
      </c>
      <c r="P129">
        <v>2500000</v>
      </c>
      <c r="Q129">
        <v>2500000</v>
      </c>
      <c r="S129" t="s">
        <v>259</v>
      </c>
      <c r="U129">
        <f t="shared" si="1"/>
        <v>0</v>
      </c>
      <c r="V129">
        <v>0</v>
      </c>
    </row>
    <row r="130" spans="1:22" x14ac:dyDescent="0.35">
      <c r="A130" t="s">
        <v>797</v>
      </c>
      <c r="B130" t="s">
        <v>273</v>
      </c>
      <c r="C130" t="s">
        <v>45</v>
      </c>
      <c r="D130" t="s">
        <v>33</v>
      </c>
      <c r="E130" t="s">
        <v>110</v>
      </c>
      <c r="F130">
        <v>26</v>
      </c>
      <c r="G130" t="s">
        <v>798</v>
      </c>
      <c r="H130">
        <v>-1.0943242311477661</v>
      </c>
      <c r="I130">
        <v>0.24424418807029724</v>
      </c>
      <c r="K130">
        <v>0</v>
      </c>
      <c r="N130" t="s">
        <v>56</v>
      </c>
      <c r="O130">
        <v>1</v>
      </c>
      <c r="P130">
        <v>975000</v>
      </c>
      <c r="Q130">
        <v>975000</v>
      </c>
      <c r="S130" t="s">
        <v>799</v>
      </c>
      <c r="U130">
        <f t="shared" si="1"/>
        <v>0</v>
      </c>
      <c r="V130">
        <v>0</v>
      </c>
    </row>
    <row r="131" spans="1:22" x14ac:dyDescent="0.35">
      <c r="A131" t="s">
        <v>459</v>
      </c>
      <c r="B131" t="s">
        <v>334</v>
      </c>
      <c r="C131" t="s">
        <v>39</v>
      </c>
      <c r="D131" t="s">
        <v>39</v>
      </c>
      <c r="E131" t="s">
        <v>34</v>
      </c>
      <c r="F131">
        <v>35</v>
      </c>
      <c r="G131" t="s">
        <v>460</v>
      </c>
      <c r="H131">
        <v>0.26698204874992371</v>
      </c>
      <c r="I131">
        <v>0.24376147985458374</v>
      </c>
      <c r="K131">
        <v>0</v>
      </c>
      <c r="N131" t="s">
        <v>104</v>
      </c>
      <c r="O131">
        <v>1</v>
      </c>
      <c r="P131">
        <v>2000000</v>
      </c>
      <c r="Q131">
        <v>2000000</v>
      </c>
      <c r="S131" t="s">
        <v>461</v>
      </c>
      <c r="U131">
        <f t="shared" ref="U131:U194" si="2">IF((L131="")*(Q131=""), 1, 0)</f>
        <v>0</v>
      </c>
      <c r="V131">
        <v>0</v>
      </c>
    </row>
    <row r="132" spans="1:22" x14ac:dyDescent="0.35">
      <c r="A132" t="s">
        <v>434</v>
      </c>
      <c r="B132" t="s">
        <v>9</v>
      </c>
      <c r="C132" t="s">
        <v>39</v>
      </c>
      <c r="D132" t="s">
        <v>39</v>
      </c>
      <c r="E132" t="s">
        <v>58</v>
      </c>
      <c r="F132">
        <v>35</v>
      </c>
      <c r="G132" t="s">
        <v>435</v>
      </c>
      <c r="H132">
        <v>0.3462543785572052</v>
      </c>
      <c r="I132">
        <v>0.236552894115448</v>
      </c>
      <c r="J132">
        <v>1</v>
      </c>
      <c r="K132">
        <v>6500000</v>
      </c>
      <c r="L132">
        <v>6500000</v>
      </c>
      <c r="N132" t="s">
        <v>102</v>
      </c>
      <c r="O132">
        <v>1</v>
      </c>
      <c r="P132">
        <v>7000000</v>
      </c>
      <c r="Q132">
        <v>7000000</v>
      </c>
      <c r="S132" t="s">
        <v>436</v>
      </c>
      <c r="U132">
        <f t="shared" si="2"/>
        <v>0</v>
      </c>
      <c r="V132">
        <v>0</v>
      </c>
    </row>
    <row r="133" spans="1:22" x14ac:dyDescent="0.35">
      <c r="A133" t="s">
        <v>627</v>
      </c>
      <c r="B133" t="s">
        <v>9</v>
      </c>
      <c r="C133" t="s">
        <v>39</v>
      </c>
      <c r="D133" t="s">
        <v>39</v>
      </c>
      <c r="E133" t="s">
        <v>48</v>
      </c>
      <c r="F133">
        <v>33</v>
      </c>
      <c r="G133" t="s">
        <v>628</v>
      </c>
      <c r="H133">
        <v>-0.11007146537303925</v>
      </c>
      <c r="I133">
        <v>0.23130252957344055</v>
      </c>
      <c r="K133">
        <v>0</v>
      </c>
      <c r="N133" t="s">
        <v>97</v>
      </c>
      <c r="O133">
        <v>1</v>
      </c>
      <c r="P133">
        <v>1500000</v>
      </c>
      <c r="Q133">
        <v>1500000</v>
      </c>
      <c r="S133" t="s">
        <v>629</v>
      </c>
      <c r="U133">
        <f t="shared" si="2"/>
        <v>0</v>
      </c>
      <c r="V133">
        <v>0</v>
      </c>
    </row>
    <row r="134" spans="1:22" x14ac:dyDescent="0.35">
      <c r="A134" t="s">
        <v>627</v>
      </c>
      <c r="B134" t="s">
        <v>9</v>
      </c>
      <c r="C134" t="s">
        <v>39</v>
      </c>
      <c r="D134" t="s">
        <v>39</v>
      </c>
      <c r="E134" t="s">
        <v>48</v>
      </c>
      <c r="F134">
        <v>33</v>
      </c>
      <c r="G134" t="s">
        <v>628</v>
      </c>
      <c r="H134">
        <v>-0.11007146537303925</v>
      </c>
      <c r="I134">
        <v>0.23130252957344055</v>
      </c>
      <c r="K134">
        <v>0</v>
      </c>
      <c r="N134" t="s">
        <v>78</v>
      </c>
      <c r="O134">
        <v>1</v>
      </c>
      <c r="P134">
        <v>265591</v>
      </c>
      <c r="Q134">
        <v>265591</v>
      </c>
      <c r="S134" t="s">
        <v>629</v>
      </c>
      <c r="U134">
        <f t="shared" si="2"/>
        <v>0</v>
      </c>
      <c r="V134">
        <v>0</v>
      </c>
    </row>
    <row r="135" spans="1:22" hidden="1" x14ac:dyDescent="0.35">
      <c r="A135" t="s">
        <v>611</v>
      </c>
      <c r="B135" t="s">
        <v>10</v>
      </c>
      <c r="C135" t="s">
        <v>39</v>
      </c>
      <c r="D135" t="s">
        <v>33</v>
      </c>
      <c r="E135" t="s">
        <v>129</v>
      </c>
      <c r="F135">
        <v>34</v>
      </c>
      <c r="G135" t="s">
        <v>612</v>
      </c>
      <c r="H135">
        <v>-6.2831126153469086E-2</v>
      </c>
      <c r="I135">
        <v>0.22543030977249146</v>
      </c>
      <c r="K135">
        <v>0</v>
      </c>
      <c r="S135" t="s">
        <v>613</v>
      </c>
      <c r="U135">
        <f t="shared" si="2"/>
        <v>1</v>
      </c>
    </row>
    <row r="136" spans="1:22" x14ac:dyDescent="0.35">
      <c r="A136" t="s">
        <v>521</v>
      </c>
      <c r="B136" t="s">
        <v>10</v>
      </c>
      <c r="C136" t="s">
        <v>39</v>
      </c>
      <c r="D136" t="s">
        <v>39</v>
      </c>
      <c r="E136" t="s">
        <v>102</v>
      </c>
      <c r="F136">
        <v>38</v>
      </c>
      <c r="G136" t="s">
        <v>522</v>
      </c>
      <c r="H136">
        <v>0.13202005624771118</v>
      </c>
      <c r="I136">
        <v>0.22166724503040314</v>
      </c>
      <c r="K136">
        <v>0</v>
      </c>
      <c r="N136" t="s">
        <v>34</v>
      </c>
      <c r="O136">
        <v>1</v>
      </c>
      <c r="P136">
        <v>346774</v>
      </c>
      <c r="Q136">
        <v>346774</v>
      </c>
      <c r="S136" t="s">
        <v>523</v>
      </c>
      <c r="U136">
        <f t="shared" si="2"/>
        <v>0</v>
      </c>
      <c r="V136">
        <v>0</v>
      </c>
    </row>
    <row r="137" spans="1:22" x14ac:dyDescent="0.35">
      <c r="A137" t="s">
        <v>286</v>
      </c>
      <c r="B137" t="s">
        <v>9</v>
      </c>
      <c r="C137" t="s">
        <v>39</v>
      </c>
      <c r="D137" t="s">
        <v>39</v>
      </c>
      <c r="E137" t="s">
        <v>97</v>
      </c>
      <c r="F137">
        <v>31</v>
      </c>
      <c r="G137" t="s">
        <v>287</v>
      </c>
      <c r="H137">
        <v>0.80759650468826294</v>
      </c>
      <c r="I137">
        <v>0.20117248594760895</v>
      </c>
      <c r="J137">
        <v>2</v>
      </c>
      <c r="K137">
        <v>12000000</v>
      </c>
      <c r="L137">
        <v>6000000</v>
      </c>
      <c r="N137" t="s">
        <v>129</v>
      </c>
      <c r="O137">
        <v>1</v>
      </c>
      <c r="P137">
        <v>10000000</v>
      </c>
      <c r="Q137">
        <v>10000000</v>
      </c>
      <c r="S137" t="s">
        <v>288</v>
      </c>
      <c r="U137">
        <f t="shared" si="2"/>
        <v>0</v>
      </c>
      <c r="V137">
        <v>0</v>
      </c>
    </row>
    <row r="138" spans="1:22" x14ac:dyDescent="0.35">
      <c r="A138" t="s">
        <v>552</v>
      </c>
      <c r="B138" t="s">
        <v>9</v>
      </c>
      <c r="C138" t="s">
        <v>39</v>
      </c>
      <c r="D138" t="s">
        <v>39</v>
      </c>
      <c r="E138" t="s">
        <v>34</v>
      </c>
      <c r="F138">
        <v>35</v>
      </c>
      <c r="G138" t="s">
        <v>553</v>
      </c>
      <c r="H138">
        <v>5.6362487375736237E-2</v>
      </c>
      <c r="I138">
        <v>0.19918128848075867</v>
      </c>
      <c r="K138">
        <v>0</v>
      </c>
      <c r="N138" t="s">
        <v>78</v>
      </c>
      <c r="O138">
        <v>1</v>
      </c>
      <c r="P138">
        <v>7750000</v>
      </c>
      <c r="Q138">
        <v>7750000</v>
      </c>
      <c r="S138" t="s">
        <v>554</v>
      </c>
      <c r="U138">
        <f t="shared" si="2"/>
        <v>0</v>
      </c>
      <c r="V138">
        <v>0</v>
      </c>
    </row>
    <row r="139" spans="1:22" x14ac:dyDescent="0.35">
      <c r="A139" t="s">
        <v>550</v>
      </c>
      <c r="B139" t="s">
        <v>9</v>
      </c>
      <c r="C139" t="s">
        <v>33</v>
      </c>
      <c r="D139" t="s">
        <v>33</v>
      </c>
      <c r="E139" t="s">
        <v>129</v>
      </c>
      <c r="F139">
        <v>35</v>
      </c>
      <c r="G139" t="s">
        <v>192</v>
      </c>
      <c r="H139">
        <v>7.9370364546775818E-2</v>
      </c>
      <c r="I139">
        <v>0.19732068479061127</v>
      </c>
      <c r="K139">
        <v>0</v>
      </c>
      <c r="N139" t="s">
        <v>254</v>
      </c>
      <c r="O139">
        <v>1</v>
      </c>
      <c r="P139">
        <v>2000000</v>
      </c>
      <c r="Q139">
        <v>2000000</v>
      </c>
      <c r="S139" t="s">
        <v>551</v>
      </c>
      <c r="U139">
        <f t="shared" si="2"/>
        <v>0</v>
      </c>
      <c r="V139">
        <v>0</v>
      </c>
    </row>
    <row r="140" spans="1:22" x14ac:dyDescent="0.35">
      <c r="A140" t="s">
        <v>785</v>
      </c>
      <c r="B140" t="s">
        <v>9</v>
      </c>
      <c r="C140" t="s">
        <v>39</v>
      </c>
      <c r="D140" t="s">
        <v>39</v>
      </c>
      <c r="E140" t="s">
        <v>151</v>
      </c>
      <c r="F140">
        <v>29</v>
      </c>
      <c r="G140" t="s">
        <v>786</v>
      </c>
      <c r="H140">
        <v>-0.96331673860549927</v>
      </c>
      <c r="I140">
        <v>0.19612075388431549</v>
      </c>
      <c r="K140">
        <v>0</v>
      </c>
      <c r="N140" t="s">
        <v>48</v>
      </c>
      <c r="O140">
        <v>1</v>
      </c>
      <c r="P140">
        <v>1400000</v>
      </c>
      <c r="Q140">
        <v>1400000</v>
      </c>
      <c r="S140" t="s">
        <v>787</v>
      </c>
      <c r="U140">
        <f t="shared" si="2"/>
        <v>0</v>
      </c>
      <c r="V140">
        <v>0</v>
      </c>
    </row>
    <row r="141" spans="1:22" x14ac:dyDescent="0.35">
      <c r="A141" t="s">
        <v>490</v>
      </c>
      <c r="B141" t="s">
        <v>9</v>
      </c>
      <c r="C141" t="s">
        <v>39</v>
      </c>
      <c r="D141" t="s">
        <v>39</v>
      </c>
      <c r="E141" t="s">
        <v>104</v>
      </c>
      <c r="F141">
        <v>32</v>
      </c>
      <c r="G141" t="s">
        <v>491</v>
      </c>
      <c r="H141">
        <v>0.20318952202796936</v>
      </c>
      <c r="I141">
        <v>0.18711018562316895</v>
      </c>
      <c r="K141">
        <v>0</v>
      </c>
      <c r="N141" t="s">
        <v>141</v>
      </c>
      <c r="O141">
        <v>1</v>
      </c>
      <c r="P141">
        <v>3000000</v>
      </c>
      <c r="Q141">
        <v>3000000</v>
      </c>
      <c r="S141" t="s">
        <v>492</v>
      </c>
      <c r="U141">
        <f t="shared" si="2"/>
        <v>0</v>
      </c>
      <c r="V141">
        <v>0</v>
      </c>
    </row>
    <row r="142" spans="1:22" x14ac:dyDescent="0.35">
      <c r="A142" t="s">
        <v>558</v>
      </c>
      <c r="B142" t="s">
        <v>9</v>
      </c>
      <c r="C142" t="s">
        <v>39</v>
      </c>
      <c r="D142" t="s">
        <v>39</v>
      </c>
      <c r="E142" t="s">
        <v>102</v>
      </c>
      <c r="F142">
        <v>32</v>
      </c>
      <c r="G142" t="s">
        <v>559</v>
      </c>
      <c r="H142">
        <v>4.1170444339513779E-2</v>
      </c>
      <c r="I142">
        <v>0.18623954057693481</v>
      </c>
      <c r="J142">
        <v>1</v>
      </c>
      <c r="K142">
        <v>4000000</v>
      </c>
      <c r="L142">
        <v>4000000</v>
      </c>
      <c r="N142" t="s">
        <v>70</v>
      </c>
      <c r="O142">
        <v>1</v>
      </c>
      <c r="P142">
        <v>2500000</v>
      </c>
      <c r="Q142">
        <v>2500000</v>
      </c>
      <c r="S142" t="s">
        <v>560</v>
      </c>
      <c r="U142">
        <f t="shared" si="2"/>
        <v>0</v>
      </c>
      <c r="V142">
        <v>0</v>
      </c>
    </row>
    <row r="143" spans="1:22" hidden="1" x14ac:dyDescent="0.35">
      <c r="A143" t="s">
        <v>493</v>
      </c>
      <c r="B143" t="s">
        <v>368</v>
      </c>
      <c r="C143" t="s">
        <v>39</v>
      </c>
      <c r="D143" t="s">
        <v>39</v>
      </c>
      <c r="E143" t="s">
        <v>149</v>
      </c>
      <c r="F143">
        <v>28</v>
      </c>
      <c r="G143" t="s">
        <v>494</v>
      </c>
      <c r="H143">
        <v>0.1967569887638092</v>
      </c>
      <c r="I143">
        <v>1.1760332584381104</v>
      </c>
      <c r="K143">
        <v>0</v>
      </c>
      <c r="N143" t="s">
        <v>129</v>
      </c>
      <c r="O143">
        <v>1</v>
      </c>
      <c r="P143">
        <v>1100000</v>
      </c>
      <c r="Q143">
        <v>1100000</v>
      </c>
      <c r="S143" t="s">
        <v>495</v>
      </c>
      <c r="U143">
        <f t="shared" si="2"/>
        <v>0</v>
      </c>
    </row>
    <row r="144" spans="1:22" x14ac:dyDescent="0.35">
      <c r="A144" t="s">
        <v>212</v>
      </c>
      <c r="B144" t="s">
        <v>10</v>
      </c>
      <c r="C144" t="s">
        <v>33</v>
      </c>
      <c r="D144" t="s">
        <v>33</v>
      </c>
      <c r="E144" t="s">
        <v>62</v>
      </c>
      <c r="F144">
        <v>28</v>
      </c>
      <c r="G144" t="s">
        <v>213</v>
      </c>
      <c r="H144">
        <v>1.2016021013259888</v>
      </c>
      <c r="I144">
        <v>0.18469195067882538</v>
      </c>
      <c r="K144">
        <v>0</v>
      </c>
      <c r="N144" t="s">
        <v>53</v>
      </c>
      <c r="O144">
        <v>2</v>
      </c>
      <c r="P144">
        <v>18250000</v>
      </c>
      <c r="Q144">
        <v>9125000</v>
      </c>
      <c r="S144" t="s">
        <v>214</v>
      </c>
      <c r="U144">
        <f t="shared" si="2"/>
        <v>0</v>
      </c>
      <c r="V144">
        <v>0</v>
      </c>
    </row>
    <row r="145" spans="1:22" x14ac:dyDescent="0.35">
      <c r="A145" t="s">
        <v>327</v>
      </c>
      <c r="B145" t="s">
        <v>116</v>
      </c>
      <c r="C145" t="s">
        <v>39</v>
      </c>
      <c r="D145" t="s">
        <v>39</v>
      </c>
      <c r="E145" t="s">
        <v>62</v>
      </c>
      <c r="F145">
        <v>36</v>
      </c>
      <c r="G145" t="s">
        <v>328</v>
      </c>
      <c r="H145">
        <v>0.6507299542427063</v>
      </c>
      <c r="I145">
        <v>0.1700701117515564</v>
      </c>
      <c r="K145">
        <v>0</v>
      </c>
      <c r="N145" t="s">
        <v>97</v>
      </c>
      <c r="O145">
        <v>1</v>
      </c>
      <c r="P145">
        <v>1000000</v>
      </c>
      <c r="Q145">
        <v>1000000</v>
      </c>
      <c r="S145" t="s">
        <v>329</v>
      </c>
      <c r="U145">
        <f t="shared" si="2"/>
        <v>0</v>
      </c>
      <c r="V145">
        <v>0</v>
      </c>
    </row>
    <row r="146" spans="1:22" x14ac:dyDescent="0.35">
      <c r="A146" t="s">
        <v>462</v>
      </c>
      <c r="B146" t="s">
        <v>9</v>
      </c>
      <c r="C146" t="s">
        <v>39</v>
      </c>
      <c r="D146" t="s">
        <v>39</v>
      </c>
      <c r="E146" t="s">
        <v>53</v>
      </c>
      <c r="F146">
        <v>38</v>
      </c>
      <c r="G146" t="s">
        <v>463</v>
      </c>
      <c r="H146">
        <v>0.26689878106117249</v>
      </c>
      <c r="I146">
        <v>0.16752976179122925</v>
      </c>
      <c r="J146">
        <v>1</v>
      </c>
      <c r="K146">
        <v>3000000</v>
      </c>
      <c r="L146">
        <v>3000000</v>
      </c>
      <c r="N146" t="s">
        <v>66</v>
      </c>
      <c r="O146">
        <v>1</v>
      </c>
      <c r="P146">
        <v>1500000</v>
      </c>
      <c r="Q146">
        <v>1500000</v>
      </c>
      <c r="S146" t="s">
        <v>464</v>
      </c>
      <c r="U146">
        <f t="shared" si="2"/>
        <v>0</v>
      </c>
      <c r="V146">
        <v>0</v>
      </c>
    </row>
    <row r="147" spans="1:22" x14ac:dyDescent="0.35">
      <c r="A147" t="s">
        <v>462</v>
      </c>
      <c r="B147" t="s">
        <v>9</v>
      </c>
      <c r="C147" t="s">
        <v>39</v>
      </c>
      <c r="D147" t="s">
        <v>39</v>
      </c>
      <c r="E147" t="s">
        <v>53</v>
      </c>
      <c r="F147">
        <v>38</v>
      </c>
      <c r="G147" t="s">
        <v>463</v>
      </c>
      <c r="H147">
        <v>0.26689878106117249</v>
      </c>
      <c r="I147">
        <v>0.16752976179122925</v>
      </c>
      <c r="J147">
        <v>1</v>
      </c>
      <c r="K147">
        <v>3000000</v>
      </c>
      <c r="L147">
        <v>3000000</v>
      </c>
      <c r="N147" t="s">
        <v>141</v>
      </c>
      <c r="O147">
        <v>1</v>
      </c>
      <c r="P147">
        <v>339140</v>
      </c>
      <c r="Q147">
        <v>339140</v>
      </c>
      <c r="S147" t="s">
        <v>464</v>
      </c>
      <c r="U147">
        <f t="shared" si="2"/>
        <v>0</v>
      </c>
      <c r="V147">
        <v>0</v>
      </c>
    </row>
    <row r="148" spans="1:22" x14ac:dyDescent="0.35">
      <c r="A148" t="s">
        <v>591</v>
      </c>
      <c r="B148" t="s">
        <v>9</v>
      </c>
      <c r="C148" t="s">
        <v>39</v>
      </c>
      <c r="D148" t="s">
        <v>39</v>
      </c>
      <c r="E148" t="s">
        <v>36</v>
      </c>
      <c r="F148">
        <v>33</v>
      </c>
      <c r="G148" t="s">
        <v>592</v>
      </c>
      <c r="H148">
        <v>-3.0892983078956604E-2</v>
      </c>
      <c r="I148">
        <v>0.16131676733493805</v>
      </c>
      <c r="K148">
        <v>0</v>
      </c>
      <c r="N148" t="s">
        <v>36</v>
      </c>
      <c r="O148">
        <v>1</v>
      </c>
      <c r="P148">
        <v>4500000</v>
      </c>
      <c r="Q148">
        <v>4500000</v>
      </c>
      <c r="S148" t="s">
        <v>593</v>
      </c>
      <c r="U148">
        <f t="shared" si="2"/>
        <v>0</v>
      </c>
      <c r="V148">
        <v>0</v>
      </c>
    </row>
    <row r="149" spans="1:22" hidden="1" x14ac:dyDescent="0.35">
      <c r="A149" t="s">
        <v>600</v>
      </c>
      <c r="B149" t="s">
        <v>9</v>
      </c>
      <c r="C149" t="s">
        <v>33</v>
      </c>
      <c r="D149" t="s">
        <v>33</v>
      </c>
      <c r="E149" t="s">
        <v>125</v>
      </c>
      <c r="F149">
        <v>31</v>
      </c>
      <c r="G149" t="s">
        <v>601</v>
      </c>
      <c r="H149">
        <v>-4.7423373907804489E-2</v>
      </c>
      <c r="I149">
        <v>0.15941157937049866</v>
      </c>
      <c r="K149">
        <v>0</v>
      </c>
      <c r="N149" t="s">
        <v>125</v>
      </c>
      <c r="O149">
        <v>0</v>
      </c>
      <c r="P149">
        <v>0</v>
      </c>
      <c r="S149" t="s">
        <v>602</v>
      </c>
      <c r="U149">
        <f t="shared" si="2"/>
        <v>1</v>
      </c>
    </row>
    <row r="150" spans="1:22" x14ac:dyDescent="0.35">
      <c r="A150" t="s">
        <v>541</v>
      </c>
      <c r="B150" t="s">
        <v>542</v>
      </c>
      <c r="C150" t="s">
        <v>33</v>
      </c>
      <c r="D150" t="s">
        <v>39</v>
      </c>
      <c r="E150" t="s">
        <v>48</v>
      </c>
      <c r="F150">
        <v>30</v>
      </c>
      <c r="G150" t="s">
        <v>543</v>
      </c>
      <c r="H150">
        <v>0.10460204631090164</v>
      </c>
      <c r="I150">
        <v>0.14902991056442261</v>
      </c>
      <c r="K150">
        <v>0</v>
      </c>
      <c r="N150" t="s">
        <v>81</v>
      </c>
      <c r="O150">
        <v>1</v>
      </c>
      <c r="P150">
        <v>2000000</v>
      </c>
      <c r="Q150">
        <v>2000000</v>
      </c>
      <c r="S150" t="s">
        <v>544</v>
      </c>
      <c r="U150">
        <f t="shared" si="2"/>
        <v>0</v>
      </c>
      <c r="V150">
        <v>0</v>
      </c>
    </row>
    <row r="151" spans="1:22" x14ac:dyDescent="0.35">
      <c r="A151" t="s">
        <v>396</v>
      </c>
      <c r="B151" t="s">
        <v>9</v>
      </c>
      <c r="C151" t="s">
        <v>45</v>
      </c>
      <c r="D151" t="s">
        <v>39</v>
      </c>
      <c r="E151" t="s">
        <v>36</v>
      </c>
      <c r="F151">
        <v>39</v>
      </c>
      <c r="G151" t="s">
        <v>397</v>
      </c>
      <c r="H151">
        <v>0.45945456624031067</v>
      </c>
      <c r="I151">
        <v>0.14225183427333832</v>
      </c>
      <c r="K151">
        <v>0</v>
      </c>
      <c r="N151" t="s">
        <v>34</v>
      </c>
      <c r="O151">
        <v>1</v>
      </c>
      <c r="P151">
        <v>53763</v>
      </c>
      <c r="Q151">
        <v>53763</v>
      </c>
      <c r="S151" t="s">
        <v>398</v>
      </c>
      <c r="U151">
        <f t="shared" si="2"/>
        <v>0</v>
      </c>
      <c r="V151">
        <v>0</v>
      </c>
    </row>
    <row r="152" spans="1:22" hidden="1" x14ac:dyDescent="0.35">
      <c r="A152" t="s">
        <v>527</v>
      </c>
      <c r="B152" t="s">
        <v>3</v>
      </c>
      <c r="C152" t="s">
        <v>39</v>
      </c>
      <c r="D152" t="s">
        <v>39</v>
      </c>
      <c r="E152" t="s">
        <v>104</v>
      </c>
      <c r="F152">
        <v>31</v>
      </c>
      <c r="G152" t="s">
        <v>528</v>
      </c>
      <c r="H152">
        <v>0.12459887564182281</v>
      </c>
      <c r="I152">
        <v>0.13737818598747253</v>
      </c>
      <c r="K152">
        <v>0</v>
      </c>
      <c r="N152" t="s">
        <v>78</v>
      </c>
      <c r="O152">
        <v>1</v>
      </c>
      <c r="P152">
        <v>0</v>
      </c>
      <c r="S152" t="s">
        <v>529</v>
      </c>
      <c r="U152">
        <f t="shared" si="2"/>
        <v>1</v>
      </c>
    </row>
    <row r="153" spans="1:22" hidden="1" x14ac:dyDescent="0.35">
      <c r="A153" t="s">
        <v>512</v>
      </c>
      <c r="B153" t="s">
        <v>513</v>
      </c>
      <c r="C153" t="s">
        <v>39</v>
      </c>
      <c r="D153" t="s">
        <v>39</v>
      </c>
      <c r="E153" t="s">
        <v>97</v>
      </c>
      <c r="F153">
        <v>34</v>
      </c>
      <c r="G153" t="s">
        <v>514</v>
      </c>
      <c r="H153">
        <v>0.14875733852386475</v>
      </c>
      <c r="I153">
        <v>-1.4219016302376986E-3</v>
      </c>
      <c r="K153">
        <v>0</v>
      </c>
      <c r="S153" t="s">
        <v>515</v>
      </c>
      <c r="U153">
        <f t="shared" si="2"/>
        <v>1</v>
      </c>
    </row>
    <row r="154" spans="1:22" hidden="1" x14ac:dyDescent="0.35">
      <c r="A154" t="s">
        <v>403</v>
      </c>
      <c r="B154" t="s">
        <v>9</v>
      </c>
      <c r="C154" t="s">
        <v>39</v>
      </c>
      <c r="D154" t="s">
        <v>33</v>
      </c>
      <c r="E154" t="s">
        <v>97</v>
      </c>
      <c r="F154">
        <v>35</v>
      </c>
      <c r="G154" t="s">
        <v>404</v>
      </c>
      <c r="H154">
        <v>0.42827689647674561</v>
      </c>
      <c r="I154">
        <v>0.13597886264324188</v>
      </c>
      <c r="K154">
        <v>0</v>
      </c>
      <c r="N154" t="s">
        <v>78</v>
      </c>
      <c r="O154">
        <v>1</v>
      </c>
      <c r="P154">
        <v>0</v>
      </c>
      <c r="S154" t="s">
        <v>405</v>
      </c>
      <c r="U154">
        <f t="shared" si="2"/>
        <v>1</v>
      </c>
    </row>
    <row r="155" spans="1:22" x14ac:dyDescent="0.35">
      <c r="A155" t="s">
        <v>403</v>
      </c>
      <c r="B155" t="s">
        <v>9</v>
      </c>
      <c r="C155" t="s">
        <v>39</v>
      </c>
      <c r="D155" t="s">
        <v>33</v>
      </c>
      <c r="E155" t="s">
        <v>97</v>
      </c>
      <c r="F155">
        <v>35</v>
      </c>
      <c r="G155" t="s">
        <v>404</v>
      </c>
      <c r="H155">
        <v>0.42827689647674561</v>
      </c>
      <c r="I155">
        <v>0.13597886264324188</v>
      </c>
      <c r="K155">
        <v>0</v>
      </c>
      <c r="N155" t="s">
        <v>141</v>
      </c>
      <c r="O155">
        <v>1</v>
      </c>
      <c r="P155">
        <v>1000000</v>
      </c>
      <c r="Q155">
        <v>1000000</v>
      </c>
      <c r="S155" t="s">
        <v>405</v>
      </c>
      <c r="U155">
        <f t="shared" si="2"/>
        <v>0</v>
      </c>
      <c r="V155">
        <v>0</v>
      </c>
    </row>
    <row r="156" spans="1:22" hidden="1" x14ac:dyDescent="0.35">
      <c r="A156" t="s">
        <v>499</v>
      </c>
      <c r="B156" t="s">
        <v>3</v>
      </c>
      <c r="C156" t="s">
        <v>33</v>
      </c>
      <c r="D156" t="s">
        <v>39</v>
      </c>
      <c r="E156" t="s">
        <v>53</v>
      </c>
      <c r="F156">
        <v>30</v>
      </c>
      <c r="G156" t="s">
        <v>500</v>
      </c>
      <c r="H156">
        <v>0.1794147789478302</v>
      </c>
      <c r="I156">
        <v>0.13410298526287079</v>
      </c>
      <c r="K156">
        <v>0</v>
      </c>
      <c r="N156" t="s">
        <v>104</v>
      </c>
      <c r="O156">
        <v>1</v>
      </c>
      <c r="P156">
        <v>0</v>
      </c>
      <c r="S156" t="s">
        <v>501</v>
      </c>
      <c r="U156">
        <f t="shared" si="2"/>
        <v>1</v>
      </c>
    </row>
    <row r="157" spans="1:22" hidden="1" x14ac:dyDescent="0.35">
      <c r="A157" t="s">
        <v>524</v>
      </c>
      <c r="B157" t="s">
        <v>525</v>
      </c>
      <c r="C157" t="s">
        <v>33</v>
      </c>
      <c r="D157" t="s">
        <v>39</v>
      </c>
      <c r="E157" t="s">
        <v>58</v>
      </c>
      <c r="F157">
        <v>30</v>
      </c>
      <c r="G157" t="s">
        <v>274</v>
      </c>
      <c r="H157">
        <v>0.12668590247631073</v>
      </c>
      <c r="I157">
        <v>9.9243387579917908E-2</v>
      </c>
      <c r="K157">
        <v>0</v>
      </c>
      <c r="N157" t="s">
        <v>51</v>
      </c>
      <c r="O157">
        <v>1</v>
      </c>
      <c r="P157">
        <v>0</v>
      </c>
      <c r="S157" t="s">
        <v>526</v>
      </c>
      <c r="U157">
        <f t="shared" si="2"/>
        <v>1</v>
      </c>
    </row>
    <row r="158" spans="1:22" hidden="1" x14ac:dyDescent="0.35">
      <c r="A158" t="s">
        <v>499</v>
      </c>
      <c r="B158" t="s">
        <v>3</v>
      </c>
      <c r="C158" t="s">
        <v>33</v>
      </c>
      <c r="D158" t="s">
        <v>39</v>
      </c>
      <c r="E158" t="s">
        <v>53</v>
      </c>
      <c r="F158">
        <v>30</v>
      </c>
      <c r="G158" t="s">
        <v>500</v>
      </c>
      <c r="H158">
        <v>0.1794147789478302</v>
      </c>
      <c r="I158">
        <v>0.13410298526287079</v>
      </c>
      <c r="K158">
        <v>0</v>
      </c>
      <c r="N158" t="s">
        <v>104</v>
      </c>
      <c r="O158">
        <v>1</v>
      </c>
      <c r="S158" t="s">
        <v>501</v>
      </c>
      <c r="U158">
        <f t="shared" si="2"/>
        <v>1</v>
      </c>
    </row>
    <row r="159" spans="1:22" x14ac:dyDescent="0.35">
      <c r="A159" t="s">
        <v>425</v>
      </c>
      <c r="B159" t="s">
        <v>3</v>
      </c>
      <c r="C159" t="s">
        <v>39</v>
      </c>
      <c r="D159" t="s">
        <v>39</v>
      </c>
      <c r="E159" t="s">
        <v>70</v>
      </c>
      <c r="F159">
        <v>34</v>
      </c>
      <c r="G159" t="s">
        <v>426</v>
      </c>
      <c r="H159">
        <v>0.36488145589828491</v>
      </c>
      <c r="I159">
        <v>0.13363847136497498</v>
      </c>
      <c r="K159">
        <v>0</v>
      </c>
      <c r="N159" t="s">
        <v>70</v>
      </c>
      <c r="O159">
        <v>1</v>
      </c>
      <c r="P159">
        <v>1100000</v>
      </c>
      <c r="Q159">
        <v>1100000</v>
      </c>
      <c r="S159" t="s">
        <v>427</v>
      </c>
      <c r="U159">
        <f t="shared" si="2"/>
        <v>0</v>
      </c>
      <c r="V159">
        <v>1</v>
      </c>
    </row>
    <row r="160" spans="1:22" hidden="1" x14ac:dyDescent="0.35">
      <c r="A160" t="s">
        <v>701</v>
      </c>
      <c r="B160" t="s">
        <v>9</v>
      </c>
      <c r="C160" t="s">
        <v>33</v>
      </c>
      <c r="D160" t="s">
        <v>33</v>
      </c>
      <c r="E160" t="s">
        <v>104</v>
      </c>
      <c r="F160">
        <v>36</v>
      </c>
      <c r="G160" t="s">
        <v>702</v>
      </c>
      <c r="H160">
        <v>-0.25690513849258423</v>
      </c>
      <c r="I160">
        <v>0.13322640955448151</v>
      </c>
      <c r="K160">
        <v>0</v>
      </c>
      <c r="S160" t="s">
        <v>703</v>
      </c>
      <c r="U160">
        <f t="shared" si="2"/>
        <v>1</v>
      </c>
    </row>
    <row r="161" spans="1:22" hidden="1" x14ac:dyDescent="0.35">
      <c r="A161" t="s">
        <v>818</v>
      </c>
      <c r="B161" t="s">
        <v>10</v>
      </c>
      <c r="C161" t="s">
        <v>39</v>
      </c>
      <c r="D161" t="s">
        <v>39</v>
      </c>
      <c r="E161" t="s">
        <v>48</v>
      </c>
      <c r="F161">
        <v>27</v>
      </c>
      <c r="G161" t="s">
        <v>819</v>
      </c>
      <c r="I161">
        <v>0.12944351136684418</v>
      </c>
      <c r="K161">
        <v>0</v>
      </c>
      <c r="N161" t="s">
        <v>100</v>
      </c>
      <c r="O161">
        <v>1</v>
      </c>
      <c r="P161">
        <v>0</v>
      </c>
      <c r="S161" t="s">
        <v>820</v>
      </c>
      <c r="U161">
        <f t="shared" si="2"/>
        <v>1</v>
      </c>
    </row>
    <row r="162" spans="1:22" x14ac:dyDescent="0.35">
      <c r="A162" t="s">
        <v>739</v>
      </c>
      <c r="B162" t="s">
        <v>740</v>
      </c>
      <c r="C162" t="s">
        <v>33</v>
      </c>
      <c r="D162" t="s">
        <v>39</v>
      </c>
      <c r="E162" t="s">
        <v>81</v>
      </c>
      <c r="F162">
        <v>33</v>
      </c>
      <c r="G162" t="s">
        <v>741</v>
      </c>
      <c r="H162">
        <v>-0.51940852403640747</v>
      </c>
      <c r="I162">
        <v>0.12648271024227142</v>
      </c>
      <c r="K162">
        <v>0</v>
      </c>
      <c r="N162" t="s">
        <v>125</v>
      </c>
      <c r="O162">
        <v>1</v>
      </c>
      <c r="P162">
        <v>1525000</v>
      </c>
      <c r="Q162">
        <v>1525000</v>
      </c>
      <c r="S162" t="s">
        <v>742</v>
      </c>
      <c r="U162">
        <f t="shared" si="2"/>
        <v>0</v>
      </c>
      <c r="V162">
        <v>0</v>
      </c>
    </row>
    <row r="163" spans="1:22" x14ac:dyDescent="0.35">
      <c r="A163" t="s">
        <v>447</v>
      </c>
      <c r="B163" t="s">
        <v>9</v>
      </c>
      <c r="C163" t="s">
        <v>39</v>
      </c>
      <c r="D163" t="s">
        <v>39</v>
      </c>
      <c r="E163" t="s">
        <v>184</v>
      </c>
      <c r="F163">
        <v>35</v>
      </c>
      <c r="G163" t="s">
        <v>448</v>
      </c>
      <c r="H163">
        <v>0.29568716883659363</v>
      </c>
      <c r="I163">
        <v>0.11859180778264999</v>
      </c>
      <c r="J163">
        <v>1</v>
      </c>
      <c r="K163">
        <v>3000000</v>
      </c>
      <c r="L163">
        <v>3000000</v>
      </c>
      <c r="N163" t="s">
        <v>56</v>
      </c>
      <c r="O163">
        <v>1</v>
      </c>
      <c r="P163">
        <v>10000000</v>
      </c>
      <c r="Q163">
        <v>10000000</v>
      </c>
      <c r="S163" t="s">
        <v>449</v>
      </c>
      <c r="U163">
        <f t="shared" si="2"/>
        <v>0</v>
      </c>
      <c r="V163">
        <v>0</v>
      </c>
    </row>
    <row r="164" spans="1:22" x14ac:dyDescent="0.35">
      <c r="A164" t="s">
        <v>698</v>
      </c>
      <c r="B164" t="s">
        <v>10</v>
      </c>
      <c r="C164" t="s">
        <v>39</v>
      </c>
      <c r="D164" t="s">
        <v>39</v>
      </c>
      <c r="E164" t="s">
        <v>40</v>
      </c>
      <c r="F164">
        <v>27</v>
      </c>
      <c r="G164" t="s">
        <v>699</v>
      </c>
      <c r="H164">
        <v>-0.25622951984405518</v>
      </c>
      <c r="I164">
        <v>0.11794913560152054</v>
      </c>
      <c r="K164">
        <v>0</v>
      </c>
      <c r="N164" t="s">
        <v>151</v>
      </c>
      <c r="O164">
        <v>1</v>
      </c>
      <c r="P164">
        <v>1050000</v>
      </c>
      <c r="Q164">
        <v>1050000</v>
      </c>
      <c r="S164" t="s">
        <v>700</v>
      </c>
      <c r="U164">
        <f t="shared" si="2"/>
        <v>0</v>
      </c>
      <c r="V164">
        <v>0</v>
      </c>
    </row>
    <row r="165" spans="1:22" hidden="1" x14ac:dyDescent="0.35">
      <c r="A165" t="s">
        <v>510</v>
      </c>
      <c r="B165" t="s">
        <v>3</v>
      </c>
      <c r="C165" t="s">
        <v>39</v>
      </c>
      <c r="D165" t="s">
        <v>39</v>
      </c>
      <c r="E165" t="s">
        <v>56</v>
      </c>
      <c r="F165">
        <v>35</v>
      </c>
      <c r="G165" t="s">
        <v>96</v>
      </c>
      <c r="H165">
        <v>0.15860511362552643</v>
      </c>
      <c r="I165">
        <v>0.11500290781259537</v>
      </c>
      <c r="K165">
        <v>0</v>
      </c>
      <c r="N165" t="s">
        <v>48</v>
      </c>
      <c r="O165">
        <v>1</v>
      </c>
      <c r="P165">
        <v>0</v>
      </c>
      <c r="S165" t="s">
        <v>511</v>
      </c>
      <c r="U165">
        <f t="shared" si="2"/>
        <v>1</v>
      </c>
    </row>
    <row r="166" spans="1:22" x14ac:dyDescent="0.35">
      <c r="A166" t="s">
        <v>510</v>
      </c>
      <c r="B166" t="s">
        <v>3</v>
      </c>
      <c r="C166" t="s">
        <v>39</v>
      </c>
      <c r="D166" t="s">
        <v>39</v>
      </c>
      <c r="E166" t="s">
        <v>56</v>
      </c>
      <c r="F166">
        <v>35</v>
      </c>
      <c r="G166" t="s">
        <v>96</v>
      </c>
      <c r="H166">
        <v>0.15860511362552643</v>
      </c>
      <c r="I166">
        <v>0.11500290781259537</v>
      </c>
      <c r="K166">
        <v>0</v>
      </c>
      <c r="N166" t="s">
        <v>58</v>
      </c>
      <c r="O166">
        <v>1</v>
      </c>
      <c r="P166">
        <v>404516</v>
      </c>
      <c r="Q166">
        <v>404516</v>
      </c>
      <c r="S166" t="s">
        <v>511</v>
      </c>
      <c r="U166">
        <f t="shared" si="2"/>
        <v>0</v>
      </c>
      <c r="V166">
        <v>1</v>
      </c>
    </row>
    <row r="167" spans="1:22" x14ac:dyDescent="0.35">
      <c r="A167" t="s">
        <v>253</v>
      </c>
      <c r="B167" t="s">
        <v>3</v>
      </c>
      <c r="C167" t="s">
        <v>39</v>
      </c>
      <c r="D167" t="s">
        <v>39</v>
      </c>
      <c r="E167" t="s">
        <v>254</v>
      </c>
      <c r="F167">
        <v>35</v>
      </c>
      <c r="G167" t="s">
        <v>255</v>
      </c>
      <c r="H167">
        <v>0.90673166513442993</v>
      </c>
      <c r="I167">
        <v>0.11341314762830734</v>
      </c>
      <c r="K167">
        <v>0</v>
      </c>
      <c r="N167" t="s">
        <v>254</v>
      </c>
      <c r="O167">
        <v>1</v>
      </c>
      <c r="P167">
        <v>2500000</v>
      </c>
      <c r="Q167">
        <v>2500000</v>
      </c>
      <c r="S167" t="s">
        <v>256</v>
      </c>
      <c r="U167">
        <f t="shared" si="2"/>
        <v>0</v>
      </c>
      <c r="V167">
        <v>1</v>
      </c>
    </row>
    <row r="168" spans="1:22" x14ac:dyDescent="0.35">
      <c r="A168" t="s">
        <v>253</v>
      </c>
      <c r="B168" t="s">
        <v>3</v>
      </c>
      <c r="C168" t="s">
        <v>39</v>
      </c>
      <c r="D168" t="s">
        <v>39</v>
      </c>
      <c r="E168" t="s">
        <v>254</v>
      </c>
      <c r="F168">
        <v>35</v>
      </c>
      <c r="G168" t="s">
        <v>255</v>
      </c>
      <c r="H168">
        <v>0.90673166513442993</v>
      </c>
      <c r="I168">
        <v>0.11341314762830734</v>
      </c>
      <c r="K168">
        <v>0</v>
      </c>
      <c r="N168" t="s">
        <v>56</v>
      </c>
      <c r="O168">
        <v>1</v>
      </c>
      <c r="P168">
        <v>367742</v>
      </c>
      <c r="Q168">
        <v>367742</v>
      </c>
      <c r="S168" t="s">
        <v>256</v>
      </c>
      <c r="U168">
        <f t="shared" si="2"/>
        <v>0</v>
      </c>
      <c r="V168">
        <v>1</v>
      </c>
    </row>
    <row r="169" spans="1:22" x14ac:dyDescent="0.35">
      <c r="A169" t="s">
        <v>371</v>
      </c>
      <c r="B169" t="s">
        <v>347</v>
      </c>
      <c r="C169" t="s">
        <v>39</v>
      </c>
      <c r="D169" t="s">
        <v>39</v>
      </c>
      <c r="E169" t="s">
        <v>125</v>
      </c>
      <c r="F169">
        <v>38</v>
      </c>
      <c r="G169" t="s">
        <v>372</v>
      </c>
      <c r="H169">
        <v>0.50709640979766846</v>
      </c>
      <c r="I169">
        <v>0.10409662872552872</v>
      </c>
      <c r="K169">
        <v>0</v>
      </c>
      <c r="N169" t="s">
        <v>125</v>
      </c>
      <c r="O169">
        <v>1</v>
      </c>
      <c r="P169">
        <v>5000000</v>
      </c>
      <c r="Q169">
        <v>5000000</v>
      </c>
      <c r="S169" t="s">
        <v>373</v>
      </c>
      <c r="U169">
        <f t="shared" si="2"/>
        <v>0</v>
      </c>
      <c r="V169">
        <v>0</v>
      </c>
    </row>
    <row r="170" spans="1:22" hidden="1" x14ac:dyDescent="0.35">
      <c r="A170" t="s">
        <v>393</v>
      </c>
      <c r="B170" t="s">
        <v>65</v>
      </c>
      <c r="C170" t="s">
        <v>33</v>
      </c>
      <c r="D170" t="s">
        <v>33</v>
      </c>
      <c r="E170" t="s">
        <v>46</v>
      </c>
      <c r="F170">
        <v>37</v>
      </c>
      <c r="G170" t="s">
        <v>394</v>
      </c>
      <c r="H170">
        <v>0.46134930849075317</v>
      </c>
      <c r="I170">
        <v>9.931086003780365E-2</v>
      </c>
      <c r="K170">
        <v>0</v>
      </c>
      <c r="S170" t="s">
        <v>395</v>
      </c>
      <c r="U170">
        <f t="shared" si="2"/>
        <v>1</v>
      </c>
    </row>
    <row r="171" spans="1:22" x14ac:dyDescent="0.35">
      <c r="A171" t="s">
        <v>682</v>
      </c>
      <c r="B171" t="s">
        <v>9</v>
      </c>
      <c r="C171" t="s">
        <v>33</v>
      </c>
      <c r="D171" t="s">
        <v>33</v>
      </c>
      <c r="E171" t="s">
        <v>129</v>
      </c>
      <c r="F171">
        <v>32</v>
      </c>
      <c r="G171" t="s">
        <v>683</v>
      </c>
      <c r="H171">
        <v>-0.22588562965393066</v>
      </c>
      <c r="I171">
        <v>9.2887513339519501E-2</v>
      </c>
      <c r="K171">
        <v>0</v>
      </c>
      <c r="N171" t="s">
        <v>53</v>
      </c>
      <c r="O171">
        <v>1</v>
      </c>
      <c r="P171">
        <v>1000000</v>
      </c>
      <c r="Q171">
        <v>1000000</v>
      </c>
      <c r="S171" t="s">
        <v>684</v>
      </c>
      <c r="U171">
        <f t="shared" si="2"/>
        <v>0</v>
      </c>
      <c r="V171">
        <v>0</v>
      </c>
    </row>
    <row r="172" spans="1:22" x14ac:dyDescent="0.35">
      <c r="A172" t="s">
        <v>639</v>
      </c>
      <c r="B172" t="s">
        <v>9</v>
      </c>
      <c r="C172" t="s">
        <v>33</v>
      </c>
      <c r="D172" t="s">
        <v>33</v>
      </c>
      <c r="E172" t="s">
        <v>34</v>
      </c>
      <c r="F172">
        <v>33</v>
      </c>
      <c r="G172" t="s">
        <v>640</v>
      </c>
      <c r="H172">
        <v>-0.13033147156238556</v>
      </c>
      <c r="I172">
        <v>8.9233413338661194E-2</v>
      </c>
      <c r="K172">
        <v>0</v>
      </c>
      <c r="N172" t="s">
        <v>125</v>
      </c>
      <c r="O172">
        <v>1</v>
      </c>
      <c r="P172">
        <v>1150000</v>
      </c>
      <c r="Q172">
        <v>1150000</v>
      </c>
      <c r="S172" t="s">
        <v>641</v>
      </c>
      <c r="U172">
        <f t="shared" si="2"/>
        <v>0</v>
      </c>
      <c r="V172">
        <v>0</v>
      </c>
    </row>
    <row r="173" spans="1:22" hidden="1" x14ac:dyDescent="0.35">
      <c r="A173" t="s">
        <v>676</v>
      </c>
      <c r="B173" t="s">
        <v>65</v>
      </c>
      <c r="C173" t="s">
        <v>33</v>
      </c>
      <c r="D173" t="s">
        <v>39</v>
      </c>
      <c r="E173" t="s">
        <v>36</v>
      </c>
      <c r="F173">
        <v>31</v>
      </c>
      <c r="G173" t="s">
        <v>677</v>
      </c>
      <c r="H173">
        <v>-0.21028836071491241</v>
      </c>
      <c r="I173">
        <v>8.485615998506546E-2</v>
      </c>
      <c r="K173">
        <v>0</v>
      </c>
      <c r="N173" t="s">
        <v>125</v>
      </c>
      <c r="O173">
        <v>1</v>
      </c>
      <c r="P173">
        <v>0</v>
      </c>
      <c r="S173" t="s">
        <v>678</v>
      </c>
      <c r="U173">
        <f t="shared" si="2"/>
        <v>1</v>
      </c>
    </row>
    <row r="174" spans="1:22" x14ac:dyDescent="0.35">
      <c r="A174" t="s">
        <v>692</v>
      </c>
      <c r="B174" t="s">
        <v>273</v>
      </c>
      <c r="C174" t="s">
        <v>33</v>
      </c>
      <c r="D174" t="s">
        <v>39</v>
      </c>
      <c r="E174" t="s">
        <v>97</v>
      </c>
      <c r="F174">
        <v>34</v>
      </c>
      <c r="G174" t="s">
        <v>693</v>
      </c>
      <c r="H174">
        <v>-0.24523861706256866</v>
      </c>
      <c r="I174">
        <v>8.315015584230423E-2</v>
      </c>
      <c r="K174">
        <v>0</v>
      </c>
      <c r="N174" t="s">
        <v>151</v>
      </c>
      <c r="O174">
        <v>1</v>
      </c>
      <c r="P174">
        <v>69892</v>
      </c>
      <c r="Q174">
        <v>69892</v>
      </c>
      <c r="S174" t="s">
        <v>694</v>
      </c>
      <c r="U174">
        <f t="shared" si="2"/>
        <v>0</v>
      </c>
      <c r="V174">
        <v>0</v>
      </c>
    </row>
    <row r="175" spans="1:22" x14ac:dyDescent="0.35">
      <c r="A175" t="s">
        <v>555</v>
      </c>
      <c r="B175" t="s">
        <v>9</v>
      </c>
      <c r="C175" t="s">
        <v>39</v>
      </c>
      <c r="D175" t="s">
        <v>39</v>
      </c>
      <c r="E175" t="s">
        <v>51</v>
      </c>
      <c r="F175">
        <v>36</v>
      </c>
      <c r="G175" t="s">
        <v>556</v>
      </c>
      <c r="H175">
        <v>4.3525613844394684E-2</v>
      </c>
      <c r="I175">
        <v>7.9020969569683075E-2</v>
      </c>
      <c r="K175">
        <v>0</v>
      </c>
      <c r="N175" t="s">
        <v>48</v>
      </c>
      <c r="O175">
        <v>1</v>
      </c>
      <c r="P175">
        <v>75269</v>
      </c>
      <c r="Q175">
        <v>75269</v>
      </c>
      <c r="S175" t="s">
        <v>557</v>
      </c>
      <c r="U175">
        <f t="shared" si="2"/>
        <v>0</v>
      </c>
      <c r="V175">
        <v>0</v>
      </c>
    </row>
    <row r="176" spans="1:22" x14ac:dyDescent="0.35">
      <c r="A176" t="s">
        <v>776</v>
      </c>
      <c r="B176" t="s">
        <v>364</v>
      </c>
      <c r="C176" t="s">
        <v>33</v>
      </c>
      <c r="D176" t="s">
        <v>33</v>
      </c>
      <c r="E176" t="s">
        <v>151</v>
      </c>
      <c r="F176">
        <v>29</v>
      </c>
      <c r="G176" t="s">
        <v>777</v>
      </c>
      <c r="H176">
        <v>-0.82241135835647583</v>
      </c>
      <c r="I176">
        <v>7.8812338411808014E-2</v>
      </c>
      <c r="K176">
        <v>0</v>
      </c>
      <c r="N176" t="s">
        <v>46</v>
      </c>
      <c r="O176">
        <v>1</v>
      </c>
      <c r="P176">
        <v>1600000</v>
      </c>
      <c r="Q176">
        <v>1600000</v>
      </c>
      <c r="S176" t="s">
        <v>778</v>
      </c>
      <c r="U176">
        <f t="shared" si="2"/>
        <v>0</v>
      </c>
      <c r="V176">
        <v>0</v>
      </c>
    </row>
    <row r="177" spans="1:22" hidden="1" x14ac:dyDescent="0.35">
      <c r="A177" t="s">
        <v>582</v>
      </c>
      <c r="B177" t="s">
        <v>65</v>
      </c>
      <c r="C177" t="s">
        <v>33</v>
      </c>
      <c r="D177" t="s">
        <v>33</v>
      </c>
      <c r="E177" t="s">
        <v>51</v>
      </c>
      <c r="F177">
        <v>33</v>
      </c>
      <c r="G177" t="s">
        <v>583</v>
      </c>
      <c r="H177">
        <v>1.3547373935580254E-2</v>
      </c>
      <c r="I177">
        <v>7.4853934347629547E-2</v>
      </c>
      <c r="K177">
        <v>0</v>
      </c>
      <c r="S177" t="s">
        <v>584</v>
      </c>
      <c r="U177">
        <f t="shared" si="2"/>
        <v>1</v>
      </c>
    </row>
    <row r="178" spans="1:22" x14ac:dyDescent="0.35">
      <c r="A178" t="s">
        <v>821</v>
      </c>
      <c r="B178" t="s">
        <v>9</v>
      </c>
      <c r="C178" t="s">
        <v>39</v>
      </c>
      <c r="D178" t="s">
        <v>39</v>
      </c>
      <c r="E178" t="s">
        <v>51</v>
      </c>
      <c r="F178">
        <v>34</v>
      </c>
      <c r="G178" t="s">
        <v>822</v>
      </c>
      <c r="I178">
        <v>7.1345821022987366E-2</v>
      </c>
      <c r="K178">
        <v>0</v>
      </c>
      <c r="N178" t="s">
        <v>58</v>
      </c>
      <c r="O178">
        <v>1</v>
      </c>
      <c r="P178">
        <v>1350000</v>
      </c>
      <c r="Q178">
        <v>1350000</v>
      </c>
      <c r="S178" t="s">
        <v>823</v>
      </c>
      <c r="U178">
        <f t="shared" si="2"/>
        <v>0</v>
      </c>
      <c r="V178">
        <v>0</v>
      </c>
    </row>
    <row r="179" spans="1:22" x14ac:dyDescent="0.35">
      <c r="A179" t="s">
        <v>444</v>
      </c>
      <c r="B179" t="s">
        <v>9</v>
      </c>
      <c r="C179" t="s">
        <v>33</v>
      </c>
      <c r="D179" t="s">
        <v>33</v>
      </c>
      <c r="E179" t="s">
        <v>36</v>
      </c>
      <c r="F179">
        <v>37</v>
      </c>
      <c r="G179" t="s">
        <v>445</v>
      </c>
      <c r="H179">
        <v>0.30086380243301392</v>
      </c>
      <c r="I179">
        <v>6.8564809858798981E-2</v>
      </c>
      <c r="J179">
        <v>1</v>
      </c>
      <c r="K179">
        <v>4000000</v>
      </c>
      <c r="L179">
        <v>4000000</v>
      </c>
      <c r="N179" t="s">
        <v>36</v>
      </c>
      <c r="O179">
        <v>1</v>
      </c>
      <c r="P179">
        <v>1850000</v>
      </c>
      <c r="Q179">
        <v>1850000</v>
      </c>
      <c r="S179" t="s">
        <v>446</v>
      </c>
      <c r="U179">
        <f t="shared" si="2"/>
        <v>0</v>
      </c>
      <c r="V179">
        <v>0</v>
      </c>
    </row>
    <row r="180" spans="1:22" x14ac:dyDescent="0.35">
      <c r="A180" t="s">
        <v>764</v>
      </c>
      <c r="B180" t="s">
        <v>3</v>
      </c>
      <c r="C180" t="s">
        <v>39</v>
      </c>
      <c r="D180" t="s">
        <v>39</v>
      </c>
      <c r="E180" t="s">
        <v>70</v>
      </c>
      <c r="F180">
        <v>34</v>
      </c>
      <c r="G180" t="s">
        <v>765</v>
      </c>
      <c r="H180">
        <v>-0.69027155637741089</v>
      </c>
      <c r="I180">
        <v>6.6669568419456482E-2</v>
      </c>
      <c r="K180">
        <v>0</v>
      </c>
      <c r="N180" t="s">
        <v>81</v>
      </c>
      <c r="O180">
        <v>1</v>
      </c>
      <c r="P180">
        <v>1182796</v>
      </c>
      <c r="Q180">
        <v>1182796</v>
      </c>
      <c r="S180" t="s">
        <v>766</v>
      </c>
      <c r="U180">
        <f t="shared" si="2"/>
        <v>0</v>
      </c>
      <c r="V180">
        <v>1</v>
      </c>
    </row>
    <row r="181" spans="1:22" x14ac:dyDescent="0.35">
      <c r="A181" t="s">
        <v>538</v>
      </c>
      <c r="B181" t="s">
        <v>9</v>
      </c>
      <c r="C181" t="s">
        <v>39</v>
      </c>
      <c r="D181" t="s">
        <v>39</v>
      </c>
      <c r="E181" t="s">
        <v>36</v>
      </c>
      <c r="F181">
        <v>32</v>
      </c>
      <c r="G181" t="s">
        <v>539</v>
      </c>
      <c r="H181">
        <v>0.10687315464019775</v>
      </c>
      <c r="I181">
        <v>6.5068893134593964E-2</v>
      </c>
      <c r="K181">
        <v>0</v>
      </c>
      <c r="N181" t="s">
        <v>184</v>
      </c>
      <c r="O181">
        <v>1</v>
      </c>
      <c r="P181">
        <v>2000000</v>
      </c>
      <c r="Q181">
        <v>2000000</v>
      </c>
      <c r="S181" t="s">
        <v>540</v>
      </c>
      <c r="U181">
        <f t="shared" si="2"/>
        <v>0</v>
      </c>
      <c r="V181">
        <v>0</v>
      </c>
    </row>
    <row r="182" spans="1:22" hidden="1" x14ac:dyDescent="0.35">
      <c r="A182" t="s">
        <v>747</v>
      </c>
      <c r="B182" t="s">
        <v>748</v>
      </c>
      <c r="C182" t="s">
        <v>39</v>
      </c>
      <c r="D182" t="s">
        <v>39</v>
      </c>
      <c r="E182" t="s">
        <v>151</v>
      </c>
      <c r="F182">
        <v>30</v>
      </c>
      <c r="G182" t="s">
        <v>665</v>
      </c>
      <c r="H182">
        <v>-0.53808319568634033</v>
      </c>
      <c r="I182">
        <v>6.4851552248001099E-2</v>
      </c>
      <c r="K182">
        <v>0</v>
      </c>
      <c r="S182" t="s">
        <v>749</v>
      </c>
      <c r="U182">
        <f t="shared" si="2"/>
        <v>1</v>
      </c>
    </row>
    <row r="183" spans="1:22" x14ac:dyDescent="0.35">
      <c r="A183" t="s">
        <v>824</v>
      </c>
      <c r="B183" t="s">
        <v>10</v>
      </c>
      <c r="C183" t="s">
        <v>33</v>
      </c>
      <c r="D183" t="s">
        <v>33</v>
      </c>
      <c r="E183" t="s">
        <v>825</v>
      </c>
      <c r="F183">
        <v>32</v>
      </c>
      <c r="G183" t="s">
        <v>826</v>
      </c>
      <c r="I183">
        <v>6.3840761780738831E-2</v>
      </c>
      <c r="J183">
        <v>2</v>
      </c>
      <c r="K183">
        <v>14500000</v>
      </c>
      <c r="L183">
        <v>7250000</v>
      </c>
      <c r="N183" t="s">
        <v>46</v>
      </c>
      <c r="O183">
        <v>1</v>
      </c>
      <c r="P183">
        <v>1500000</v>
      </c>
      <c r="Q183">
        <v>1500000</v>
      </c>
      <c r="S183" t="s">
        <v>827</v>
      </c>
      <c r="U183">
        <f t="shared" si="2"/>
        <v>0</v>
      </c>
      <c r="V183">
        <v>0</v>
      </c>
    </row>
    <row r="184" spans="1:22" hidden="1" x14ac:dyDescent="0.35">
      <c r="A184" t="s">
        <v>597</v>
      </c>
      <c r="B184" t="s">
        <v>0</v>
      </c>
      <c r="C184" t="s">
        <v>39</v>
      </c>
      <c r="D184" t="s">
        <v>39</v>
      </c>
      <c r="E184" t="s">
        <v>81</v>
      </c>
      <c r="F184">
        <v>41</v>
      </c>
      <c r="G184" t="s">
        <v>598</v>
      </c>
      <c r="H184">
        <v>-4.4388711452484131E-2</v>
      </c>
      <c r="I184">
        <v>2.1431302651762962E-2</v>
      </c>
      <c r="K184">
        <v>0</v>
      </c>
      <c r="N184" t="s">
        <v>46</v>
      </c>
      <c r="O184">
        <v>1</v>
      </c>
      <c r="P184">
        <v>355376</v>
      </c>
      <c r="Q184">
        <v>355376</v>
      </c>
      <c r="S184" t="s">
        <v>599</v>
      </c>
      <c r="U184">
        <f t="shared" si="2"/>
        <v>0</v>
      </c>
    </row>
    <row r="185" spans="1:22" x14ac:dyDescent="0.35">
      <c r="A185" t="s">
        <v>794</v>
      </c>
      <c r="B185" t="s">
        <v>273</v>
      </c>
      <c r="C185" t="s">
        <v>39</v>
      </c>
      <c r="D185" t="s">
        <v>39</v>
      </c>
      <c r="E185" t="s">
        <v>125</v>
      </c>
      <c r="F185">
        <v>28</v>
      </c>
      <c r="G185" t="s">
        <v>795</v>
      </c>
      <c r="H185">
        <v>-1.0844602584838867</v>
      </c>
      <c r="I185">
        <v>6.0694601386785507E-2</v>
      </c>
      <c r="K185">
        <v>0</v>
      </c>
      <c r="N185" t="s">
        <v>48</v>
      </c>
      <c r="O185">
        <v>1</v>
      </c>
      <c r="P185">
        <v>860000</v>
      </c>
      <c r="Q185">
        <v>860000</v>
      </c>
      <c r="S185" t="s">
        <v>796</v>
      </c>
      <c r="U185">
        <f t="shared" si="2"/>
        <v>0</v>
      </c>
      <c r="V185">
        <v>0</v>
      </c>
    </row>
    <row r="186" spans="1:22" x14ac:dyDescent="0.35">
      <c r="A186" t="s">
        <v>689</v>
      </c>
      <c r="B186" t="s">
        <v>9</v>
      </c>
      <c r="C186" t="s">
        <v>33</v>
      </c>
      <c r="D186" t="s">
        <v>33</v>
      </c>
      <c r="E186" t="s">
        <v>100</v>
      </c>
      <c r="F186">
        <v>33</v>
      </c>
      <c r="G186" t="s">
        <v>690</v>
      </c>
      <c r="H186">
        <v>-0.2403220534324646</v>
      </c>
      <c r="I186">
        <v>5.2799146622419357E-2</v>
      </c>
      <c r="K186">
        <v>0</v>
      </c>
      <c r="N186" t="s">
        <v>51</v>
      </c>
      <c r="O186">
        <v>1</v>
      </c>
      <c r="P186">
        <v>1200000</v>
      </c>
      <c r="Q186">
        <v>1200000</v>
      </c>
      <c r="S186" t="s">
        <v>691</v>
      </c>
      <c r="U186">
        <f t="shared" si="2"/>
        <v>0</v>
      </c>
      <c r="V186">
        <v>0</v>
      </c>
    </row>
    <row r="187" spans="1:22" x14ac:dyDescent="0.35">
      <c r="A187" t="s">
        <v>346</v>
      </c>
      <c r="B187" t="s">
        <v>347</v>
      </c>
      <c r="C187" t="s">
        <v>39</v>
      </c>
      <c r="D187" t="s">
        <v>39</v>
      </c>
      <c r="E187" t="s">
        <v>36</v>
      </c>
      <c r="F187">
        <v>37</v>
      </c>
      <c r="G187" t="s">
        <v>348</v>
      </c>
      <c r="H187">
        <v>0.5915982723236084</v>
      </c>
      <c r="I187">
        <v>5.1865734159946442E-2</v>
      </c>
      <c r="J187">
        <v>1</v>
      </c>
      <c r="K187">
        <v>9000000</v>
      </c>
      <c r="L187">
        <v>9000000</v>
      </c>
      <c r="S187" t="s">
        <v>349</v>
      </c>
      <c r="U187">
        <f t="shared" si="2"/>
        <v>0</v>
      </c>
      <c r="V187">
        <v>0</v>
      </c>
    </row>
    <row r="188" spans="1:22" hidden="1" x14ac:dyDescent="0.35">
      <c r="A188" t="s">
        <v>576</v>
      </c>
      <c r="B188" t="s">
        <v>9</v>
      </c>
      <c r="C188" t="s">
        <v>39</v>
      </c>
      <c r="D188" t="s">
        <v>39</v>
      </c>
      <c r="E188" t="s">
        <v>129</v>
      </c>
      <c r="F188">
        <v>34</v>
      </c>
      <c r="G188" t="s">
        <v>577</v>
      </c>
      <c r="H188">
        <v>1.6170818358659744E-2</v>
      </c>
      <c r="I188">
        <v>4.8856247216463089E-2</v>
      </c>
      <c r="K188">
        <v>0</v>
      </c>
      <c r="N188" t="s">
        <v>53</v>
      </c>
      <c r="O188">
        <v>1</v>
      </c>
      <c r="P188">
        <v>0</v>
      </c>
      <c r="S188" t="s">
        <v>578</v>
      </c>
      <c r="U188">
        <f t="shared" si="2"/>
        <v>1</v>
      </c>
    </row>
    <row r="189" spans="1:22" x14ac:dyDescent="0.35">
      <c r="A189" t="s">
        <v>753</v>
      </c>
      <c r="B189" t="s">
        <v>10</v>
      </c>
      <c r="C189" t="s">
        <v>39</v>
      </c>
      <c r="D189" t="s">
        <v>33</v>
      </c>
      <c r="E189" t="s">
        <v>110</v>
      </c>
      <c r="F189">
        <v>30</v>
      </c>
      <c r="G189" t="s">
        <v>728</v>
      </c>
      <c r="H189">
        <v>-0.56611722707748413</v>
      </c>
      <c r="I189">
        <v>4.6464964747428894E-2</v>
      </c>
      <c r="K189">
        <v>0</v>
      </c>
      <c r="N189" t="s">
        <v>40</v>
      </c>
      <c r="O189">
        <v>1</v>
      </c>
      <c r="P189">
        <v>1000000</v>
      </c>
      <c r="Q189">
        <v>1000000</v>
      </c>
      <c r="S189" t="s">
        <v>754</v>
      </c>
      <c r="U189">
        <f t="shared" si="2"/>
        <v>0</v>
      </c>
      <c r="V189">
        <v>0</v>
      </c>
    </row>
    <row r="190" spans="1:22" hidden="1" x14ac:dyDescent="0.35">
      <c r="A190" t="s">
        <v>614</v>
      </c>
      <c r="B190" t="s">
        <v>368</v>
      </c>
      <c r="C190" t="s">
        <v>45</v>
      </c>
      <c r="D190" t="s">
        <v>39</v>
      </c>
      <c r="E190" t="s">
        <v>141</v>
      </c>
      <c r="F190">
        <v>33</v>
      </c>
      <c r="G190" t="s">
        <v>615</v>
      </c>
      <c r="H190">
        <v>-7.4899651110172272E-2</v>
      </c>
      <c r="I190">
        <v>0.13163886964321136</v>
      </c>
      <c r="K190">
        <v>0</v>
      </c>
      <c r="N190" t="s">
        <v>58</v>
      </c>
      <c r="O190">
        <v>1</v>
      </c>
      <c r="P190">
        <v>0</v>
      </c>
      <c r="S190" t="s">
        <v>616</v>
      </c>
      <c r="U190">
        <f t="shared" si="2"/>
        <v>1</v>
      </c>
    </row>
    <row r="191" spans="1:22" hidden="1" x14ac:dyDescent="0.35">
      <c r="A191" t="s">
        <v>614</v>
      </c>
      <c r="B191" t="s">
        <v>368</v>
      </c>
      <c r="C191" t="s">
        <v>45</v>
      </c>
      <c r="D191" t="s">
        <v>39</v>
      </c>
      <c r="E191" t="s">
        <v>141</v>
      </c>
      <c r="F191">
        <v>33</v>
      </c>
      <c r="G191" t="s">
        <v>615</v>
      </c>
      <c r="H191">
        <v>-7.4899651110172272E-2</v>
      </c>
      <c r="I191">
        <v>0.13163886964321136</v>
      </c>
      <c r="K191">
        <v>0</v>
      </c>
      <c r="N191" t="s">
        <v>58</v>
      </c>
      <c r="O191">
        <v>1</v>
      </c>
      <c r="S191" t="s">
        <v>616</v>
      </c>
      <c r="U191">
        <f t="shared" si="2"/>
        <v>1</v>
      </c>
    </row>
    <row r="192" spans="1:22" x14ac:dyDescent="0.35">
      <c r="A192" t="s">
        <v>753</v>
      </c>
      <c r="B192" t="s">
        <v>10</v>
      </c>
      <c r="C192" t="s">
        <v>39</v>
      </c>
      <c r="D192" t="s">
        <v>33</v>
      </c>
      <c r="E192" t="s">
        <v>110</v>
      </c>
      <c r="F192">
        <v>30</v>
      </c>
      <c r="G192" t="s">
        <v>728</v>
      </c>
      <c r="H192">
        <v>-0.56611722707748413</v>
      </c>
      <c r="I192">
        <v>4.6464964747428894E-2</v>
      </c>
      <c r="K192">
        <v>0</v>
      </c>
      <c r="N192" t="s">
        <v>151</v>
      </c>
      <c r="O192">
        <v>1</v>
      </c>
      <c r="P192">
        <v>461720</v>
      </c>
      <c r="Q192">
        <v>461720</v>
      </c>
      <c r="S192" t="s">
        <v>754</v>
      </c>
      <c r="U192">
        <f t="shared" si="2"/>
        <v>0</v>
      </c>
      <c r="V192">
        <v>0</v>
      </c>
    </row>
    <row r="193" spans="1:22" hidden="1" x14ac:dyDescent="0.35">
      <c r="A193" t="s">
        <v>621</v>
      </c>
      <c r="B193" t="s">
        <v>0</v>
      </c>
      <c r="C193" t="s">
        <v>45</v>
      </c>
      <c r="D193" t="s">
        <v>39</v>
      </c>
      <c r="E193" t="s">
        <v>58</v>
      </c>
      <c r="F193">
        <v>32</v>
      </c>
      <c r="G193" t="s">
        <v>622</v>
      </c>
      <c r="H193">
        <v>-7.9930081963539124E-2</v>
      </c>
      <c r="I193">
        <v>0.72746330499649048</v>
      </c>
      <c r="J193">
        <v>1</v>
      </c>
      <c r="K193">
        <v>8000000</v>
      </c>
      <c r="L193">
        <v>8000000</v>
      </c>
      <c r="N193" t="s">
        <v>141</v>
      </c>
      <c r="O193">
        <v>1</v>
      </c>
      <c r="P193">
        <v>6000000</v>
      </c>
      <c r="Q193">
        <v>6000000</v>
      </c>
      <c r="S193" t="s">
        <v>623</v>
      </c>
      <c r="U193">
        <f t="shared" si="2"/>
        <v>0</v>
      </c>
    </row>
    <row r="194" spans="1:22" hidden="1" x14ac:dyDescent="0.35">
      <c r="A194" t="s">
        <v>828</v>
      </c>
      <c r="B194" t="s">
        <v>9</v>
      </c>
      <c r="C194" t="s">
        <v>39</v>
      </c>
      <c r="D194" t="s">
        <v>39</v>
      </c>
      <c r="E194" t="s">
        <v>184</v>
      </c>
      <c r="F194">
        <v>31</v>
      </c>
      <c r="G194" t="s">
        <v>829</v>
      </c>
      <c r="I194">
        <v>4.5923516154289246E-2</v>
      </c>
      <c r="K194">
        <v>0</v>
      </c>
      <c r="S194" t="s">
        <v>830</v>
      </c>
      <c r="U194">
        <f t="shared" si="2"/>
        <v>1</v>
      </c>
    </row>
    <row r="195" spans="1:22" hidden="1" x14ac:dyDescent="0.35">
      <c r="A195" t="s">
        <v>642</v>
      </c>
      <c r="B195" t="s">
        <v>10</v>
      </c>
      <c r="C195" t="s">
        <v>39</v>
      </c>
      <c r="D195" t="s">
        <v>39</v>
      </c>
      <c r="E195" t="s">
        <v>36</v>
      </c>
      <c r="F195">
        <v>32</v>
      </c>
      <c r="G195" t="s">
        <v>643</v>
      </c>
      <c r="H195">
        <v>-0.14314869046211243</v>
      </c>
      <c r="I195">
        <v>4.3546851724386215E-2</v>
      </c>
      <c r="K195">
        <v>0</v>
      </c>
      <c r="N195" t="s">
        <v>97</v>
      </c>
      <c r="O195">
        <v>1</v>
      </c>
      <c r="P195">
        <v>0</v>
      </c>
      <c r="S195" t="s">
        <v>644</v>
      </c>
      <c r="U195">
        <f t="shared" ref="U195:U258" si="3">IF((L195="")*(Q195=""), 1, 0)</f>
        <v>1</v>
      </c>
    </row>
    <row r="196" spans="1:22" x14ac:dyDescent="0.35">
      <c r="A196" t="s">
        <v>642</v>
      </c>
      <c r="B196" t="s">
        <v>10</v>
      </c>
      <c r="C196" t="s">
        <v>39</v>
      </c>
      <c r="D196" t="s">
        <v>39</v>
      </c>
      <c r="E196" t="s">
        <v>36</v>
      </c>
      <c r="F196">
        <v>32</v>
      </c>
      <c r="G196" t="s">
        <v>643</v>
      </c>
      <c r="H196">
        <v>-0.14314869046211243</v>
      </c>
      <c r="I196">
        <v>4.3546851724386215E-2</v>
      </c>
      <c r="K196">
        <v>0</v>
      </c>
      <c r="N196" t="s">
        <v>151</v>
      </c>
      <c r="O196">
        <v>1</v>
      </c>
      <c r="P196">
        <v>958065</v>
      </c>
      <c r="Q196">
        <v>958065</v>
      </c>
      <c r="S196" t="s">
        <v>644</v>
      </c>
      <c r="U196">
        <f t="shared" si="3"/>
        <v>0</v>
      </c>
      <c r="V196">
        <v>0</v>
      </c>
    </row>
    <row r="197" spans="1:22" hidden="1" x14ac:dyDescent="0.35">
      <c r="A197" t="s">
        <v>733</v>
      </c>
      <c r="B197" t="s">
        <v>3</v>
      </c>
      <c r="C197" t="s">
        <v>33</v>
      </c>
      <c r="D197" t="s">
        <v>39</v>
      </c>
      <c r="E197" t="s">
        <v>58</v>
      </c>
      <c r="F197">
        <v>34</v>
      </c>
      <c r="G197" t="s">
        <v>734</v>
      </c>
      <c r="H197">
        <v>-0.44629493355751038</v>
      </c>
      <c r="I197">
        <v>3.4288253635168076E-2</v>
      </c>
      <c r="K197">
        <v>0</v>
      </c>
      <c r="N197" t="s">
        <v>97</v>
      </c>
      <c r="O197">
        <v>1</v>
      </c>
      <c r="P197">
        <v>0</v>
      </c>
      <c r="S197" t="s">
        <v>735</v>
      </c>
      <c r="U197">
        <f t="shared" si="3"/>
        <v>1</v>
      </c>
    </row>
    <row r="198" spans="1:22" x14ac:dyDescent="0.35">
      <c r="A198" t="s">
        <v>318</v>
      </c>
      <c r="B198" t="s">
        <v>9</v>
      </c>
      <c r="C198" t="s">
        <v>39</v>
      </c>
      <c r="D198" t="s">
        <v>39</v>
      </c>
      <c r="E198" t="s">
        <v>56</v>
      </c>
      <c r="F198">
        <v>31</v>
      </c>
      <c r="G198" t="s">
        <v>319</v>
      </c>
      <c r="H198">
        <v>0.6643909215927124</v>
      </c>
      <c r="I198">
        <v>3.1041212379932404E-2</v>
      </c>
      <c r="K198">
        <v>0</v>
      </c>
      <c r="N198" t="s">
        <v>97</v>
      </c>
      <c r="O198">
        <v>1</v>
      </c>
      <c r="P198">
        <v>1250000</v>
      </c>
      <c r="Q198">
        <v>1250000</v>
      </c>
      <c r="S198" t="s">
        <v>320</v>
      </c>
      <c r="U198">
        <f t="shared" si="3"/>
        <v>0</v>
      </c>
      <c r="V198">
        <v>0</v>
      </c>
    </row>
    <row r="199" spans="1:22" hidden="1" x14ac:dyDescent="0.35">
      <c r="A199" t="s">
        <v>831</v>
      </c>
      <c r="B199" t="s">
        <v>9</v>
      </c>
      <c r="C199" t="s">
        <v>39</v>
      </c>
      <c r="D199" t="s">
        <v>39</v>
      </c>
      <c r="E199" t="s">
        <v>102</v>
      </c>
      <c r="F199">
        <v>29</v>
      </c>
      <c r="G199" t="s">
        <v>204</v>
      </c>
      <c r="I199">
        <v>3.0317852273583412E-2</v>
      </c>
      <c r="K199">
        <v>0</v>
      </c>
      <c r="N199" t="s">
        <v>151</v>
      </c>
      <c r="O199">
        <v>1</v>
      </c>
      <c r="P199">
        <v>0</v>
      </c>
      <c r="S199" t="s">
        <v>832</v>
      </c>
      <c r="U199">
        <f t="shared" si="3"/>
        <v>1</v>
      </c>
    </row>
    <row r="200" spans="1:22" hidden="1" x14ac:dyDescent="0.35">
      <c r="A200" t="s">
        <v>630</v>
      </c>
      <c r="B200" t="s">
        <v>9</v>
      </c>
      <c r="C200" t="s">
        <v>33</v>
      </c>
      <c r="D200" t="s">
        <v>33</v>
      </c>
      <c r="E200" t="s">
        <v>53</v>
      </c>
      <c r="F200">
        <v>33</v>
      </c>
      <c r="G200" t="s">
        <v>631</v>
      </c>
      <c r="H200">
        <v>-0.11061926931142807</v>
      </c>
      <c r="I200">
        <v>2.885318361222744E-2</v>
      </c>
      <c r="K200">
        <v>0</v>
      </c>
      <c r="S200" t="s">
        <v>632</v>
      </c>
      <c r="U200">
        <f t="shared" si="3"/>
        <v>1</v>
      </c>
    </row>
    <row r="201" spans="1:22" hidden="1" x14ac:dyDescent="0.35">
      <c r="A201" t="s">
        <v>667</v>
      </c>
      <c r="B201" t="s">
        <v>9</v>
      </c>
      <c r="C201" t="s">
        <v>45</v>
      </c>
      <c r="D201" t="s">
        <v>39</v>
      </c>
      <c r="E201" t="s">
        <v>149</v>
      </c>
      <c r="F201">
        <v>34</v>
      </c>
      <c r="G201" t="s">
        <v>668</v>
      </c>
      <c r="H201">
        <v>-0.20129245519638062</v>
      </c>
      <c r="I201">
        <v>2.7474110946059227E-2</v>
      </c>
      <c r="K201">
        <v>0</v>
      </c>
      <c r="N201" t="s">
        <v>97</v>
      </c>
      <c r="O201">
        <v>1</v>
      </c>
      <c r="P201">
        <v>0</v>
      </c>
      <c r="S201" t="s">
        <v>669</v>
      </c>
      <c r="U201">
        <f t="shared" si="3"/>
        <v>1</v>
      </c>
    </row>
    <row r="202" spans="1:22" x14ac:dyDescent="0.35">
      <c r="A202" t="s">
        <v>636</v>
      </c>
      <c r="B202" t="s">
        <v>10</v>
      </c>
      <c r="C202" t="s">
        <v>39</v>
      </c>
      <c r="D202" t="s">
        <v>39</v>
      </c>
      <c r="E202" t="s">
        <v>151</v>
      </c>
      <c r="F202">
        <v>34</v>
      </c>
      <c r="G202" t="s">
        <v>637</v>
      </c>
      <c r="H202">
        <v>-0.12141888588666916</v>
      </c>
      <c r="I202">
        <v>2.2805720567703247E-2</v>
      </c>
      <c r="K202">
        <v>0</v>
      </c>
      <c r="N202" t="s">
        <v>151</v>
      </c>
      <c r="O202">
        <v>1</v>
      </c>
      <c r="P202">
        <v>185484</v>
      </c>
      <c r="Q202">
        <v>185484</v>
      </c>
      <c r="S202" t="s">
        <v>638</v>
      </c>
      <c r="U202">
        <f t="shared" si="3"/>
        <v>0</v>
      </c>
      <c r="V202">
        <v>0</v>
      </c>
    </row>
    <row r="203" spans="1:22" x14ac:dyDescent="0.35">
      <c r="A203" t="s">
        <v>791</v>
      </c>
      <c r="B203" t="s">
        <v>32</v>
      </c>
      <c r="C203" t="s">
        <v>39</v>
      </c>
      <c r="D203" t="s">
        <v>39</v>
      </c>
      <c r="E203" t="s">
        <v>48</v>
      </c>
      <c r="F203">
        <v>36</v>
      </c>
      <c r="G203" t="s">
        <v>792</v>
      </c>
      <c r="H203">
        <v>-1.0200787782669067</v>
      </c>
      <c r="I203">
        <v>1.7001070082187653E-2</v>
      </c>
      <c r="J203">
        <v>1</v>
      </c>
      <c r="K203">
        <v>3000000</v>
      </c>
      <c r="L203">
        <v>3000000</v>
      </c>
      <c r="S203" t="s">
        <v>793</v>
      </c>
      <c r="U203">
        <f t="shared" si="3"/>
        <v>0</v>
      </c>
      <c r="V203">
        <v>0</v>
      </c>
    </row>
    <row r="204" spans="1:22" hidden="1" x14ac:dyDescent="0.35">
      <c r="A204" t="s">
        <v>474</v>
      </c>
      <c r="B204" t="s">
        <v>9</v>
      </c>
      <c r="C204" t="s">
        <v>39</v>
      </c>
      <c r="D204" t="s">
        <v>39</v>
      </c>
      <c r="E204" t="s">
        <v>100</v>
      </c>
      <c r="F204">
        <v>31</v>
      </c>
      <c r="G204" t="s">
        <v>475</v>
      </c>
      <c r="H204">
        <v>0.22011831402778625</v>
      </c>
      <c r="I204">
        <v>1.6226252540946007E-2</v>
      </c>
      <c r="K204">
        <v>0</v>
      </c>
      <c r="N204" t="s">
        <v>70</v>
      </c>
      <c r="O204">
        <v>1</v>
      </c>
      <c r="P204">
        <v>0</v>
      </c>
      <c r="S204" t="s">
        <v>476</v>
      </c>
      <c r="U204">
        <f t="shared" si="3"/>
        <v>1</v>
      </c>
    </row>
    <row r="205" spans="1:22" hidden="1" x14ac:dyDescent="0.35">
      <c r="A205" t="s">
        <v>721</v>
      </c>
      <c r="B205" t="s">
        <v>3</v>
      </c>
      <c r="C205" t="s">
        <v>39</v>
      </c>
      <c r="D205" t="s">
        <v>39</v>
      </c>
      <c r="E205" t="s">
        <v>42</v>
      </c>
      <c r="F205">
        <v>36</v>
      </c>
      <c r="G205" t="s">
        <v>722</v>
      </c>
      <c r="H205">
        <v>-0.4167289137840271</v>
      </c>
      <c r="I205">
        <v>1.6159782186150551E-2</v>
      </c>
      <c r="K205">
        <v>0</v>
      </c>
      <c r="N205" t="s">
        <v>48</v>
      </c>
      <c r="O205">
        <v>1</v>
      </c>
      <c r="P205">
        <v>0</v>
      </c>
      <c r="S205" t="s">
        <v>723</v>
      </c>
      <c r="U205">
        <f t="shared" si="3"/>
        <v>1</v>
      </c>
    </row>
    <row r="206" spans="1:22" x14ac:dyDescent="0.35">
      <c r="A206" t="s">
        <v>465</v>
      </c>
      <c r="B206" t="s">
        <v>9</v>
      </c>
      <c r="C206" t="s">
        <v>39</v>
      </c>
      <c r="D206" t="s">
        <v>39</v>
      </c>
      <c r="E206" t="s">
        <v>86</v>
      </c>
      <c r="F206">
        <v>31</v>
      </c>
      <c r="G206" t="s">
        <v>466</v>
      </c>
      <c r="H206">
        <v>0.22867357730865479</v>
      </c>
      <c r="I206">
        <v>1.5004253014922142E-2</v>
      </c>
      <c r="K206">
        <v>0</v>
      </c>
      <c r="N206" t="s">
        <v>86</v>
      </c>
      <c r="O206">
        <v>1</v>
      </c>
      <c r="P206">
        <v>1400000</v>
      </c>
      <c r="Q206">
        <v>1400000</v>
      </c>
      <c r="S206" t="s">
        <v>467</v>
      </c>
      <c r="U206">
        <f t="shared" si="3"/>
        <v>0</v>
      </c>
      <c r="V206">
        <v>0</v>
      </c>
    </row>
    <row r="207" spans="1:22" hidden="1" x14ac:dyDescent="0.35">
      <c r="A207" t="s">
        <v>617</v>
      </c>
      <c r="B207" t="s">
        <v>618</v>
      </c>
      <c r="C207" t="s">
        <v>39</v>
      </c>
      <c r="D207" t="s">
        <v>39</v>
      </c>
      <c r="E207" t="s">
        <v>62</v>
      </c>
      <c r="F207">
        <v>32</v>
      </c>
      <c r="G207" t="s">
        <v>619</v>
      </c>
      <c r="H207">
        <v>-7.9684719443321228E-2</v>
      </c>
      <c r="I207">
        <v>1.4628791250288486E-2</v>
      </c>
      <c r="K207">
        <v>0</v>
      </c>
      <c r="S207" t="s">
        <v>620</v>
      </c>
      <c r="U207">
        <f t="shared" si="3"/>
        <v>1</v>
      </c>
    </row>
    <row r="208" spans="1:22" hidden="1" x14ac:dyDescent="0.35">
      <c r="A208" t="s">
        <v>788</v>
      </c>
      <c r="B208" t="s">
        <v>3</v>
      </c>
      <c r="C208" t="s">
        <v>33</v>
      </c>
      <c r="D208" t="s">
        <v>39</v>
      </c>
      <c r="E208" t="s">
        <v>36</v>
      </c>
      <c r="F208">
        <v>33</v>
      </c>
      <c r="G208" t="s">
        <v>789</v>
      </c>
      <c r="H208">
        <v>-1.0008121728897095</v>
      </c>
      <c r="I208">
        <v>1.4086339622735977E-2</v>
      </c>
      <c r="K208">
        <v>0</v>
      </c>
      <c r="N208" t="s">
        <v>151</v>
      </c>
      <c r="O208">
        <v>1</v>
      </c>
      <c r="P208">
        <v>0</v>
      </c>
      <c r="S208" t="s">
        <v>790</v>
      </c>
      <c r="U208">
        <f t="shared" si="3"/>
        <v>1</v>
      </c>
    </row>
    <row r="209" spans="1:22" hidden="1" x14ac:dyDescent="0.35">
      <c r="A209" t="s">
        <v>655</v>
      </c>
      <c r="B209" t="s">
        <v>0</v>
      </c>
      <c r="C209" t="s">
        <v>33</v>
      </c>
      <c r="D209" t="s">
        <v>33</v>
      </c>
      <c r="E209" t="s">
        <v>34</v>
      </c>
      <c r="F209">
        <v>35</v>
      </c>
      <c r="G209" t="s">
        <v>656</v>
      </c>
      <c r="H209">
        <v>-0.18860624730587006</v>
      </c>
      <c r="I209">
        <v>0.12406902015209198</v>
      </c>
      <c r="J209">
        <v>1</v>
      </c>
      <c r="K209">
        <v>8000000</v>
      </c>
      <c r="L209">
        <v>8000000</v>
      </c>
      <c r="S209" t="s">
        <v>657</v>
      </c>
      <c r="U209">
        <f t="shared" si="3"/>
        <v>0</v>
      </c>
    </row>
    <row r="210" spans="1:22" x14ac:dyDescent="0.35">
      <c r="A210" t="s">
        <v>203</v>
      </c>
      <c r="B210" t="s">
        <v>10</v>
      </c>
      <c r="C210" t="s">
        <v>39</v>
      </c>
      <c r="D210" t="s">
        <v>39</v>
      </c>
      <c r="E210" t="s">
        <v>151</v>
      </c>
      <c r="F210">
        <v>30</v>
      </c>
      <c r="G210" t="s">
        <v>204</v>
      </c>
      <c r="H210">
        <v>1.3038595914840698</v>
      </c>
      <c r="I210">
        <v>1.2986434623599052E-2</v>
      </c>
      <c r="K210">
        <v>0</v>
      </c>
      <c r="N210" t="s">
        <v>104</v>
      </c>
      <c r="O210">
        <v>1</v>
      </c>
      <c r="P210">
        <v>1225806</v>
      </c>
      <c r="Q210">
        <v>1225806</v>
      </c>
      <c r="S210" t="s">
        <v>205</v>
      </c>
      <c r="U210">
        <f t="shared" si="3"/>
        <v>0</v>
      </c>
      <c r="V210">
        <v>0</v>
      </c>
    </row>
    <row r="211" spans="1:22" x14ac:dyDescent="0.35">
      <c r="A211" t="s">
        <v>833</v>
      </c>
      <c r="B211" t="s">
        <v>9</v>
      </c>
      <c r="C211" t="s">
        <v>39</v>
      </c>
      <c r="D211" t="s">
        <v>39</v>
      </c>
      <c r="E211" t="s">
        <v>34</v>
      </c>
      <c r="F211">
        <v>33</v>
      </c>
      <c r="G211" t="s">
        <v>834</v>
      </c>
      <c r="I211">
        <v>9.6611501649022102E-3</v>
      </c>
      <c r="K211">
        <v>0</v>
      </c>
      <c r="N211" t="s">
        <v>42</v>
      </c>
      <c r="O211">
        <v>1</v>
      </c>
      <c r="P211">
        <v>354839</v>
      </c>
      <c r="Q211">
        <v>354839</v>
      </c>
      <c r="S211" t="s">
        <v>835</v>
      </c>
      <c r="U211">
        <f t="shared" si="3"/>
        <v>0</v>
      </c>
      <c r="V211">
        <v>0</v>
      </c>
    </row>
    <row r="212" spans="1:22" hidden="1" x14ac:dyDescent="0.35">
      <c r="A212" t="s">
        <v>594</v>
      </c>
      <c r="B212" t="s">
        <v>10</v>
      </c>
      <c r="C212" t="s">
        <v>33</v>
      </c>
      <c r="D212" t="s">
        <v>33</v>
      </c>
      <c r="E212" t="s">
        <v>36</v>
      </c>
      <c r="F212">
        <v>32</v>
      </c>
      <c r="G212" t="s">
        <v>595</v>
      </c>
      <c r="H212">
        <v>-3.9540998637676239E-2</v>
      </c>
      <c r="I212">
        <v>9.321967139840126E-3</v>
      </c>
      <c r="K212">
        <v>0</v>
      </c>
      <c r="N212" t="s">
        <v>42</v>
      </c>
      <c r="O212">
        <v>1</v>
      </c>
      <c r="P212">
        <v>0</v>
      </c>
      <c r="S212" t="s">
        <v>596</v>
      </c>
      <c r="U212">
        <f t="shared" si="3"/>
        <v>1</v>
      </c>
    </row>
    <row r="213" spans="1:22" hidden="1" x14ac:dyDescent="0.35">
      <c r="A213" t="s">
        <v>594</v>
      </c>
      <c r="B213" t="s">
        <v>10</v>
      </c>
      <c r="C213" t="s">
        <v>33</v>
      </c>
      <c r="D213" t="s">
        <v>33</v>
      </c>
      <c r="E213" t="s">
        <v>36</v>
      </c>
      <c r="F213">
        <v>32</v>
      </c>
      <c r="G213" t="s">
        <v>595</v>
      </c>
      <c r="H213">
        <v>-3.9540998637676239E-2</v>
      </c>
      <c r="I213">
        <v>9.321967139840126E-3</v>
      </c>
      <c r="K213">
        <v>0</v>
      </c>
      <c r="N213" t="s">
        <v>42</v>
      </c>
      <c r="O213">
        <v>1</v>
      </c>
      <c r="S213" t="s">
        <v>596</v>
      </c>
      <c r="U213">
        <f t="shared" si="3"/>
        <v>1</v>
      </c>
    </row>
    <row r="214" spans="1:22" hidden="1" x14ac:dyDescent="0.35">
      <c r="A214" t="s">
        <v>800</v>
      </c>
      <c r="B214" t="s">
        <v>3</v>
      </c>
      <c r="C214" t="s">
        <v>39</v>
      </c>
      <c r="D214" t="s">
        <v>39</v>
      </c>
      <c r="E214" t="s">
        <v>104</v>
      </c>
      <c r="F214">
        <v>37</v>
      </c>
      <c r="G214" t="s">
        <v>801</v>
      </c>
      <c r="H214">
        <v>-1.1985082626342773</v>
      </c>
      <c r="I214">
        <v>4.3285046704113483E-3</v>
      </c>
      <c r="K214">
        <v>0</v>
      </c>
      <c r="S214" t="s">
        <v>802</v>
      </c>
      <c r="U214">
        <f t="shared" si="3"/>
        <v>1</v>
      </c>
    </row>
    <row r="215" spans="1:22" hidden="1" x14ac:dyDescent="0.35">
      <c r="A215" t="s">
        <v>770</v>
      </c>
      <c r="B215" t="s">
        <v>9</v>
      </c>
      <c r="C215" t="s">
        <v>39</v>
      </c>
      <c r="D215" t="s">
        <v>39</v>
      </c>
      <c r="E215" t="s">
        <v>104</v>
      </c>
      <c r="F215">
        <v>30</v>
      </c>
      <c r="G215" t="s">
        <v>771</v>
      </c>
      <c r="H215">
        <v>-0.80194646120071411</v>
      </c>
      <c r="I215">
        <v>4.2182896286249161E-3</v>
      </c>
      <c r="K215">
        <v>0</v>
      </c>
      <c r="N215" t="s">
        <v>36</v>
      </c>
      <c r="O215">
        <v>1</v>
      </c>
      <c r="P215">
        <v>0</v>
      </c>
      <c r="S215" t="s">
        <v>772</v>
      </c>
      <c r="U215">
        <f t="shared" si="3"/>
        <v>1</v>
      </c>
    </row>
    <row r="216" spans="1:22" hidden="1" x14ac:dyDescent="0.35">
      <c r="A216" t="s">
        <v>767</v>
      </c>
      <c r="B216" t="s">
        <v>9</v>
      </c>
      <c r="C216" t="s">
        <v>33</v>
      </c>
      <c r="D216" t="s">
        <v>33</v>
      </c>
      <c r="E216" t="s">
        <v>62</v>
      </c>
      <c r="F216">
        <v>36</v>
      </c>
      <c r="G216" t="s">
        <v>768</v>
      </c>
      <c r="H216">
        <v>-0.77910745143890381</v>
      </c>
      <c r="I216">
        <v>3.8976601790636778E-3</v>
      </c>
      <c r="K216">
        <v>0</v>
      </c>
      <c r="N216" t="s">
        <v>53</v>
      </c>
      <c r="O216">
        <v>1</v>
      </c>
      <c r="P216">
        <v>0</v>
      </c>
      <c r="S216" t="s">
        <v>769</v>
      </c>
      <c r="U216">
        <f t="shared" si="3"/>
        <v>1</v>
      </c>
    </row>
    <row r="217" spans="1:22" hidden="1" x14ac:dyDescent="0.35">
      <c r="A217" t="s">
        <v>481</v>
      </c>
      <c r="B217" t="s">
        <v>9</v>
      </c>
      <c r="C217" t="s">
        <v>39</v>
      </c>
      <c r="D217" t="s">
        <v>39</v>
      </c>
      <c r="E217" t="s">
        <v>104</v>
      </c>
      <c r="F217">
        <v>31</v>
      </c>
      <c r="G217" t="s">
        <v>482</v>
      </c>
      <c r="H217">
        <v>0.21572545170783997</v>
      </c>
      <c r="I217">
        <v>3.4640657249838114E-3</v>
      </c>
      <c r="K217">
        <v>0</v>
      </c>
      <c r="N217" t="s">
        <v>104</v>
      </c>
      <c r="O217">
        <v>1</v>
      </c>
      <c r="P217">
        <v>0</v>
      </c>
      <c r="S217" t="s">
        <v>483</v>
      </c>
      <c r="U217">
        <f t="shared" si="3"/>
        <v>1</v>
      </c>
    </row>
    <row r="218" spans="1:22" hidden="1" x14ac:dyDescent="0.35">
      <c r="A218" t="s">
        <v>695</v>
      </c>
      <c r="B218" t="s">
        <v>9</v>
      </c>
      <c r="C218" t="s">
        <v>39</v>
      </c>
      <c r="D218" t="s">
        <v>39</v>
      </c>
      <c r="E218" t="s">
        <v>62</v>
      </c>
      <c r="F218">
        <v>36</v>
      </c>
      <c r="G218" t="s">
        <v>696</v>
      </c>
      <c r="H218">
        <v>-0.25037986040115356</v>
      </c>
      <c r="I218">
        <v>2.8885086067020893E-3</v>
      </c>
      <c r="K218">
        <v>0</v>
      </c>
      <c r="S218" t="s">
        <v>697</v>
      </c>
      <c r="U218">
        <f t="shared" si="3"/>
        <v>1</v>
      </c>
    </row>
    <row r="219" spans="1:22" hidden="1" x14ac:dyDescent="0.35">
      <c r="A219" t="s">
        <v>685</v>
      </c>
      <c r="B219" t="s">
        <v>525</v>
      </c>
      <c r="C219" t="s">
        <v>33</v>
      </c>
      <c r="D219" t="s">
        <v>39</v>
      </c>
      <c r="E219" t="s">
        <v>48</v>
      </c>
      <c r="F219">
        <v>35</v>
      </c>
      <c r="G219" t="s">
        <v>74</v>
      </c>
      <c r="H219">
        <v>-0.23602268099784851</v>
      </c>
      <c r="I219">
        <v>1.3074856251478195E-3</v>
      </c>
      <c r="K219">
        <v>0</v>
      </c>
      <c r="S219" t="s">
        <v>686</v>
      </c>
      <c r="U219">
        <f t="shared" si="3"/>
        <v>1</v>
      </c>
    </row>
    <row r="220" spans="1:22" hidden="1" x14ac:dyDescent="0.35">
      <c r="A220" t="s">
        <v>836</v>
      </c>
      <c r="B220" t="s">
        <v>3</v>
      </c>
      <c r="C220" t="s">
        <v>39</v>
      </c>
      <c r="D220" t="s">
        <v>39</v>
      </c>
      <c r="E220" t="s">
        <v>151</v>
      </c>
      <c r="F220">
        <v>34</v>
      </c>
      <c r="G220" t="s">
        <v>488</v>
      </c>
      <c r="I220">
        <v>2.6362137869000435E-3</v>
      </c>
      <c r="K220">
        <v>0</v>
      </c>
      <c r="N220" t="s">
        <v>42</v>
      </c>
      <c r="O220">
        <v>1</v>
      </c>
      <c r="P220">
        <v>0</v>
      </c>
      <c r="S220" t="s">
        <v>837</v>
      </c>
      <c r="U220">
        <f t="shared" si="3"/>
        <v>1</v>
      </c>
    </row>
    <row r="221" spans="1:22" hidden="1" x14ac:dyDescent="0.35">
      <c r="A221" t="s">
        <v>838</v>
      </c>
      <c r="B221" t="s">
        <v>9</v>
      </c>
      <c r="C221" t="s">
        <v>39</v>
      </c>
      <c r="D221" t="s">
        <v>39</v>
      </c>
      <c r="E221" t="s">
        <v>134</v>
      </c>
      <c r="F221">
        <v>33</v>
      </c>
      <c r="G221" t="s">
        <v>839</v>
      </c>
      <c r="I221">
        <v>1.6335417749360204E-3</v>
      </c>
      <c r="K221">
        <v>0</v>
      </c>
      <c r="N221" t="s">
        <v>48</v>
      </c>
      <c r="O221">
        <v>1</v>
      </c>
      <c r="P221">
        <v>0</v>
      </c>
      <c r="S221" t="s">
        <v>840</v>
      </c>
      <c r="U221">
        <f t="shared" si="3"/>
        <v>1</v>
      </c>
    </row>
    <row r="222" spans="1:22" hidden="1" x14ac:dyDescent="0.35">
      <c r="A222" t="s">
        <v>431</v>
      </c>
      <c r="B222" t="s">
        <v>9</v>
      </c>
      <c r="C222" t="s">
        <v>39</v>
      </c>
      <c r="D222" t="s">
        <v>39</v>
      </c>
      <c r="E222" t="s">
        <v>56</v>
      </c>
      <c r="F222">
        <v>35</v>
      </c>
      <c r="G222" t="s">
        <v>432</v>
      </c>
      <c r="H222">
        <v>0.35260838270187378</v>
      </c>
      <c r="I222">
        <v>1.3931194553151727E-3</v>
      </c>
      <c r="K222">
        <v>0</v>
      </c>
      <c r="N222" t="s">
        <v>125</v>
      </c>
      <c r="O222">
        <v>1</v>
      </c>
      <c r="P222">
        <v>0</v>
      </c>
      <c r="S222" t="s">
        <v>433</v>
      </c>
      <c r="U222">
        <f t="shared" si="3"/>
        <v>1</v>
      </c>
    </row>
    <row r="223" spans="1:22" hidden="1" x14ac:dyDescent="0.35">
      <c r="A223" t="s">
        <v>561</v>
      </c>
      <c r="B223" t="s">
        <v>10</v>
      </c>
      <c r="C223" t="s">
        <v>39</v>
      </c>
      <c r="D223" t="s">
        <v>39</v>
      </c>
      <c r="E223" t="s">
        <v>81</v>
      </c>
      <c r="F223">
        <v>34</v>
      </c>
      <c r="G223" t="s">
        <v>562</v>
      </c>
      <c r="H223">
        <v>4.110986739397049E-2</v>
      </c>
      <c r="I223">
        <v>1.1394106550142169E-3</v>
      </c>
      <c r="K223">
        <v>0</v>
      </c>
      <c r="S223" t="s">
        <v>563</v>
      </c>
      <c r="U223">
        <f t="shared" si="3"/>
        <v>1</v>
      </c>
    </row>
    <row r="224" spans="1:22" hidden="1" x14ac:dyDescent="0.35">
      <c r="A224" t="s">
        <v>773</v>
      </c>
      <c r="B224" t="s">
        <v>9</v>
      </c>
      <c r="C224" t="s">
        <v>39</v>
      </c>
      <c r="D224" t="s">
        <v>33</v>
      </c>
      <c r="E224" t="s">
        <v>36</v>
      </c>
      <c r="F224">
        <v>38</v>
      </c>
      <c r="G224" t="s">
        <v>774</v>
      </c>
      <c r="H224">
        <v>-0.80982375144958496</v>
      </c>
      <c r="I224">
        <v>7.5503322295844555E-4</v>
      </c>
      <c r="K224">
        <v>0</v>
      </c>
      <c r="N224" t="s">
        <v>48</v>
      </c>
      <c r="O224">
        <v>1</v>
      </c>
      <c r="P224">
        <v>0</v>
      </c>
      <c r="S224" t="s">
        <v>775</v>
      </c>
      <c r="U224">
        <f t="shared" si="3"/>
        <v>1</v>
      </c>
    </row>
    <row r="225" spans="1:22" x14ac:dyDescent="0.35">
      <c r="A225" t="s">
        <v>468</v>
      </c>
      <c r="B225" t="s">
        <v>9</v>
      </c>
      <c r="C225" t="s">
        <v>39</v>
      </c>
      <c r="D225" t="s">
        <v>39</v>
      </c>
      <c r="E225" t="s">
        <v>36</v>
      </c>
      <c r="F225">
        <v>31</v>
      </c>
      <c r="G225" t="s">
        <v>469</v>
      </c>
      <c r="H225">
        <v>0.22086203098297119</v>
      </c>
      <c r="I225">
        <v>1.290323561988771E-4</v>
      </c>
      <c r="J225">
        <v>1</v>
      </c>
      <c r="K225">
        <v>2000000</v>
      </c>
      <c r="L225">
        <v>2000000</v>
      </c>
      <c r="N225" t="s">
        <v>36</v>
      </c>
      <c r="O225">
        <v>1</v>
      </c>
      <c r="P225">
        <v>1000000</v>
      </c>
      <c r="Q225">
        <v>1000000</v>
      </c>
      <c r="S225" t="s">
        <v>470</v>
      </c>
      <c r="U225">
        <f t="shared" si="3"/>
        <v>0</v>
      </c>
      <c r="V225">
        <v>0</v>
      </c>
    </row>
    <row r="226" spans="1:22" hidden="1" x14ac:dyDescent="0.35">
      <c r="A226" t="s">
        <v>704</v>
      </c>
      <c r="B226" t="s">
        <v>9</v>
      </c>
      <c r="C226" t="s">
        <v>39</v>
      </c>
      <c r="D226" t="s">
        <v>39</v>
      </c>
      <c r="E226" t="s">
        <v>100</v>
      </c>
      <c r="F226">
        <v>37</v>
      </c>
      <c r="G226" t="s">
        <v>705</v>
      </c>
      <c r="H226">
        <v>-0.2672027051448822</v>
      </c>
      <c r="I226">
        <v>-5.6049393606372178E-5</v>
      </c>
      <c r="K226">
        <v>0</v>
      </c>
      <c r="S226" t="s">
        <v>706</v>
      </c>
      <c r="U226">
        <f t="shared" si="3"/>
        <v>1</v>
      </c>
    </row>
    <row r="227" spans="1:22" x14ac:dyDescent="0.35">
      <c r="A227" t="s">
        <v>384</v>
      </c>
      <c r="B227" t="s">
        <v>10</v>
      </c>
      <c r="C227" t="s">
        <v>33</v>
      </c>
      <c r="D227" t="s">
        <v>33</v>
      </c>
      <c r="E227" t="s">
        <v>56</v>
      </c>
      <c r="F227">
        <v>32</v>
      </c>
      <c r="G227" t="s">
        <v>385</v>
      </c>
      <c r="H227">
        <v>0.48065429925918579</v>
      </c>
      <c r="I227">
        <v>-9.9902870715595782E-5</v>
      </c>
      <c r="J227">
        <v>1</v>
      </c>
      <c r="K227">
        <v>8000000</v>
      </c>
      <c r="L227">
        <v>8000000</v>
      </c>
      <c r="N227" t="s">
        <v>102</v>
      </c>
      <c r="O227">
        <v>1</v>
      </c>
      <c r="P227">
        <v>1000000</v>
      </c>
      <c r="Q227">
        <v>1000000</v>
      </c>
      <c r="S227" t="s">
        <v>386</v>
      </c>
      <c r="U227">
        <f t="shared" si="3"/>
        <v>0</v>
      </c>
      <c r="V227">
        <v>0</v>
      </c>
    </row>
    <row r="228" spans="1:22" hidden="1" x14ac:dyDescent="0.35">
      <c r="A228" t="s">
        <v>484</v>
      </c>
      <c r="B228" t="s">
        <v>10</v>
      </c>
      <c r="C228" t="s">
        <v>33</v>
      </c>
      <c r="D228" t="s">
        <v>33</v>
      </c>
      <c r="E228" t="s">
        <v>125</v>
      </c>
      <c r="F228">
        <v>33</v>
      </c>
      <c r="G228" t="s">
        <v>485</v>
      </c>
      <c r="H228">
        <v>0.21562297642230988</v>
      </c>
      <c r="I228">
        <v>-9.9902870715595782E-5</v>
      </c>
      <c r="K228">
        <v>0</v>
      </c>
      <c r="S228" t="s">
        <v>486</v>
      </c>
      <c r="U228">
        <f t="shared" si="3"/>
        <v>1</v>
      </c>
    </row>
    <row r="229" spans="1:22" hidden="1" x14ac:dyDescent="0.35">
      <c r="A229" t="s">
        <v>841</v>
      </c>
      <c r="B229" t="s">
        <v>10</v>
      </c>
      <c r="C229" t="s">
        <v>33</v>
      </c>
      <c r="D229" t="s">
        <v>39</v>
      </c>
      <c r="E229" t="s">
        <v>102</v>
      </c>
      <c r="F229">
        <v>32</v>
      </c>
      <c r="G229" t="s">
        <v>842</v>
      </c>
      <c r="I229">
        <v>-9.9902870715595782E-5</v>
      </c>
      <c r="K229">
        <v>0</v>
      </c>
      <c r="S229" t="s">
        <v>843</v>
      </c>
      <c r="U229">
        <f t="shared" si="3"/>
        <v>1</v>
      </c>
    </row>
    <row r="230" spans="1:22" x14ac:dyDescent="0.35">
      <c r="A230" t="s">
        <v>844</v>
      </c>
      <c r="B230" t="s">
        <v>10</v>
      </c>
      <c r="C230" t="s">
        <v>39</v>
      </c>
      <c r="D230" t="s">
        <v>39</v>
      </c>
      <c r="E230" t="s">
        <v>100</v>
      </c>
      <c r="F230">
        <v>35</v>
      </c>
      <c r="G230" t="s">
        <v>845</v>
      </c>
      <c r="I230">
        <v>-9.9902870715595782E-5</v>
      </c>
      <c r="J230">
        <v>1</v>
      </c>
      <c r="K230">
        <v>8000000</v>
      </c>
      <c r="L230">
        <v>8000000</v>
      </c>
      <c r="S230" t="s">
        <v>846</v>
      </c>
      <c r="U230">
        <f t="shared" si="3"/>
        <v>0</v>
      </c>
      <c r="V230">
        <v>0</v>
      </c>
    </row>
    <row r="231" spans="1:22" x14ac:dyDescent="0.35">
      <c r="A231" t="s">
        <v>847</v>
      </c>
      <c r="B231" t="s">
        <v>10</v>
      </c>
      <c r="C231" t="s">
        <v>39</v>
      </c>
      <c r="D231" t="s">
        <v>39</v>
      </c>
      <c r="E231" t="s">
        <v>51</v>
      </c>
      <c r="F231">
        <v>30</v>
      </c>
      <c r="G231" t="s">
        <v>848</v>
      </c>
      <c r="I231">
        <v>-9.9902870715595782E-5</v>
      </c>
      <c r="K231">
        <v>0</v>
      </c>
      <c r="N231" t="s">
        <v>78</v>
      </c>
      <c r="O231">
        <v>1</v>
      </c>
      <c r="P231">
        <v>1000000</v>
      </c>
      <c r="Q231">
        <v>1000000</v>
      </c>
      <c r="S231" t="s">
        <v>849</v>
      </c>
      <c r="U231">
        <f t="shared" si="3"/>
        <v>0</v>
      </c>
      <c r="V231">
        <v>0</v>
      </c>
    </row>
    <row r="232" spans="1:22" hidden="1" x14ac:dyDescent="0.35">
      <c r="A232" t="s">
        <v>519</v>
      </c>
      <c r="B232" t="s">
        <v>9</v>
      </c>
      <c r="C232" t="s">
        <v>39</v>
      </c>
      <c r="D232" t="s">
        <v>39</v>
      </c>
      <c r="E232" t="s">
        <v>141</v>
      </c>
      <c r="F232">
        <v>35</v>
      </c>
      <c r="G232" t="s">
        <v>251</v>
      </c>
      <c r="H232">
        <v>0.13233043253421783</v>
      </c>
      <c r="I232">
        <v>-1.1176668340340257E-3</v>
      </c>
      <c r="K232">
        <v>0</v>
      </c>
      <c r="S232" t="s">
        <v>520</v>
      </c>
      <c r="U232">
        <f t="shared" si="3"/>
        <v>1</v>
      </c>
    </row>
    <row r="233" spans="1:22" hidden="1" x14ac:dyDescent="0.35">
      <c r="A233" t="s">
        <v>724</v>
      </c>
      <c r="B233" t="s">
        <v>303</v>
      </c>
      <c r="C233" t="s">
        <v>39</v>
      </c>
      <c r="D233" t="s">
        <v>39</v>
      </c>
      <c r="E233" t="s">
        <v>34</v>
      </c>
      <c r="F233">
        <v>32</v>
      </c>
      <c r="G233" t="s">
        <v>725</v>
      </c>
      <c r="H233">
        <v>-0.41946369409561163</v>
      </c>
      <c r="I233">
        <v>7.7430076897144318E-2</v>
      </c>
      <c r="K233">
        <v>0</v>
      </c>
      <c r="N233" t="s">
        <v>62</v>
      </c>
      <c r="O233">
        <v>1</v>
      </c>
      <c r="P233">
        <v>0</v>
      </c>
      <c r="S233" t="s">
        <v>726</v>
      </c>
      <c r="U233">
        <f t="shared" si="3"/>
        <v>1</v>
      </c>
    </row>
    <row r="234" spans="1:22" hidden="1" x14ac:dyDescent="0.35">
      <c r="A234" t="s">
        <v>727</v>
      </c>
      <c r="B234" t="s">
        <v>9</v>
      </c>
      <c r="C234" t="s">
        <v>33</v>
      </c>
      <c r="D234" t="s">
        <v>33</v>
      </c>
      <c r="E234" t="s">
        <v>86</v>
      </c>
      <c r="F234">
        <v>28</v>
      </c>
      <c r="G234" t="s">
        <v>728</v>
      </c>
      <c r="H234">
        <v>-0.43740555644035339</v>
      </c>
      <c r="I234">
        <v>-2.9032973106950521E-3</v>
      </c>
      <c r="K234">
        <v>0</v>
      </c>
      <c r="N234" t="s">
        <v>36</v>
      </c>
      <c r="O234">
        <v>1</v>
      </c>
      <c r="P234">
        <v>0</v>
      </c>
      <c r="S234" t="s">
        <v>729</v>
      </c>
      <c r="U234">
        <f t="shared" si="3"/>
        <v>1</v>
      </c>
    </row>
    <row r="235" spans="1:22" hidden="1" x14ac:dyDescent="0.35">
      <c r="A235" t="s">
        <v>727</v>
      </c>
      <c r="B235" t="s">
        <v>9</v>
      </c>
      <c r="C235" t="s">
        <v>33</v>
      </c>
      <c r="D235" t="s">
        <v>33</v>
      </c>
      <c r="E235" t="s">
        <v>86</v>
      </c>
      <c r="F235">
        <v>28</v>
      </c>
      <c r="G235" t="s">
        <v>728</v>
      </c>
      <c r="H235">
        <v>-0.43740555644035339</v>
      </c>
      <c r="I235">
        <v>-2.9032973106950521E-3</v>
      </c>
      <c r="K235">
        <v>0</v>
      </c>
      <c r="N235" t="s">
        <v>100</v>
      </c>
      <c r="O235">
        <v>1</v>
      </c>
      <c r="S235" t="s">
        <v>729</v>
      </c>
      <c r="U235">
        <f t="shared" si="3"/>
        <v>1</v>
      </c>
    </row>
    <row r="236" spans="1:22" hidden="1" x14ac:dyDescent="0.35">
      <c r="A236" t="s">
        <v>730</v>
      </c>
      <c r="B236" t="s">
        <v>0</v>
      </c>
      <c r="C236" t="s">
        <v>33</v>
      </c>
      <c r="D236" t="s">
        <v>33</v>
      </c>
      <c r="E236" t="s">
        <v>125</v>
      </c>
      <c r="F236">
        <v>30</v>
      </c>
      <c r="G236" t="s">
        <v>731</v>
      </c>
      <c r="H236">
        <v>-0.43878799676895142</v>
      </c>
      <c r="I236">
        <v>0.42449519038200378</v>
      </c>
      <c r="K236">
        <v>0</v>
      </c>
      <c r="N236" t="s">
        <v>149</v>
      </c>
      <c r="O236">
        <v>1</v>
      </c>
      <c r="P236">
        <v>1500000</v>
      </c>
      <c r="Q236">
        <v>1500000</v>
      </c>
      <c r="S236" t="s">
        <v>732</v>
      </c>
      <c r="U236">
        <f t="shared" si="3"/>
        <v>0</v>
      </c>
    </row>
    <row r="237" spans="1:22" x14ac:dyDescent="0.35">
      <c r="A237" t="s">
        <v>811</v>
      </c>
      <c r="B237" t="s">
        <v>191</v>
      </c>
      <c r="C237" t="s">
        <v>33</v>
      </c>
      <c r="D237" t="s">
        <v>39</v>
      </c>
      <c r="E237" t="s">
        <v>48</v>
      </c>
      <c r="F237">
        <v>33</v>
      </c>
      <c r="G237" t="s">
        <v>812</v>
      </c>
      <c r="H237">
        <v>-1.9840387105941772</v>
      </c>
      <c r="I237">
        <v>-3.4025963395833969E-3</v>
      </c>
      <c r="K237">
        <v>0</v>
      </c>
      <c r="N237" t="s">
        <v>48</v>
      </c>
      <c r="O237">
        <v>1</v>
      </c>
      <c r="P237">
        <v>58710</v>
      </c>
      <c r="Q237">
        <v>58710</v>
      </c>
      <c r="S237" t="s">
        <v>813</v>
      </c>
      <c r="U237">
        <f t="shared" si="3"/>
        <v>0</v>
      </c>
      <c r="V237">
        <v>0</v>
      </c>
    </row>
    <row r="238" spans="1:22" hidden="1" x14ac:dyDescent="0.35">
      <c r="A238" t="s">
        <v>761</v>
      </c>
      <c r="B238" t="s">
        <v>9</v>
      </c>
      <c r="C238" t="s">
        <v>39</v>
      </c>
      <c r="D238" t="s">
        <v>39</v>
      </c>
      <c r="E238" t="s">
        <v>110</v>
      </c>
      <c r="F238">
        <v>34</v>
      </c>
      <c r="G238" t="s">
        <v>762</v>
      </c>
      <c r="H238">
        <v>-0.66778618097305298</v>
      </c>
      <c r="I238">
        <v>-3.6917186807841063E-3</v>
      </c>
      <c r="K238">
        <v>0</v>
      </c>
      <c r="N238" t="s">
        <v>36</v>
      </c>
      <c r="O238">
        <v>1</v>
      </c>
      <c r="P238">
        <v>0</v>
      </c>
      <c r="S238" t="s">
        <v>763</v>
      </c>
      <c r="U238">
        <f t="shared" si="3"/>
        <v>1</v>
      </c>
    </row>
    <row r="239" spans="1:22" hidden="1" x14ac:dyDescent="0.35">
      <c r="A239" t="s">
        <v>850</v>
      </c>
      <c r="B239" t="s">
        <v>9</v>
      </c>
      <c r="C239" t="s">
        <v>39</v>
      </c>
      <c r="D239" t="s">
        <v>39</v>
      </c>
      <c r="E239" t="s">
        <v>36</v>
      </c>
      <c r="F239">
        <v>31</v>
      </c>
      <c r="G239" t="s">
        <v>851</v>
      </c>
      <c r="I239">
        <v>-4.5863413251936436E-3</v>
      </c>
      <c r="K239">
        <v>0</v>
      </c>
      <c r="N239" t="s">
        <v>149</v>
      </c>
      <c r="O239">
        <v>1</v>
      </c>
      <c r="P239">
        <v>0</v>
      </c>
      <c r="S239" t="s">
        <v>852</v>
      </c>
      <c r="U239">
        <f t="shared" si="3"/>
        <v>1</v>
      </c>
    </row>
    <row r="240" spans="1:22" hidden="1" x14ac:dyDescent="0.35">
      <c r="A240" t="s">
        <v>743</v>
      </c>
      <c r="B240" t="s">
        <v>744</v>
      </c>
      <c r="C240" t="s">
        <v>39</v>
      </c>
      <c r="D240" t="s">
        <v>39</v>
      </c>
      <c r="E240" t="s">
        <v>51</v>
      </c>
      <c r="F240">
        <v>34</v>
      </c>
      <c r="G240" t="s">
        <v>745</v>
      </c>
      <c r="H240">
        <v>-0.53308320045471191</v>
      </c>
      <c r="I240">
        <v>4.1063468903303146E-2</v>
      </c>
      <c r="K240">
        <v>0</v>
      </c>
      <c r="S240" t="s">
        <v>746</v>
      </c>
      <c r="U240">
        <f t="shared" si="3"/>
        <v>1</v>
      </c>
    </row>
    <row r="241" spans="1:22" hidden="1" x14ac:dyDescent="0.35">
      <c r="A241" t="s">
        <v>661</v>
      </c>
      <c r="B241" t="s">
        <v>9</v>
      </c>
      <c r="C241" t="s">
        <v>39</v>
      </c>
      <c r="D241" t="s">
        <v>39</v>
      </c>
      <c r="E241" t="s">
        <v>48</v>
      </c>
      <c r="F241">
        <v>41</v>
      </c>
      <c r="G241" t="s">
        <v>662</v>
      </c>
      <c r="H241">
        <v>-0.19644536077976227</v>
      </c>
      <c r="I241">
        <v>-5.6059709750115871E-3</v>
      </c>
      <c r="K241">
        <v>0</v>
      </c>
      <c r="N241" t="s">
        <v>48</v>
      </c>
      <c r="O241">
        <v>1</v>
      </c>
      <c r="P241">
        <v>0</v>
      </c>
      <c r="S241" t="s">
        <v>663</v>
      </c>
      <c r="U241">
        <f t="shared" si="3"/>
        <v>1</v>
      </c>
    </row>
    <row r="242" spans="1:22" hidden="1" x14ac:dyDescent="0.35">
      <c r="A242" t="s">
        <v>658</v>
      </c>
      <c r="B242" t="s">
        <v>364</v>
      </c>
      <c r="C242" t="s">
        <v>33</v>
      </c>
      <c r="D242" t="s">
        <v>39</v>
      </c>
      <c r="E242" t="s">
        <v>141</v>
      </c>
      <c r="F242">
        <v>31</v>
      </c>
      <c r="G242" t="s">
        <v>659</v>
      </c>
      <c r="H242">
        <v>-0.18990415334701538</v>
      </c>
      <c r="I242">
        <v>-6.1333035118877888E-3</v>
      </c>
      <c r="K242">
        <v>0</v>
      </c>
      <c r="N242" t="s">
        <v>151</v>
      </c>
      <c r="O242">
        <v>1</v>
      </c>
      <c r="P242">
        <v>0</v>
      </c>
      <c r="S242" t="s">
        <v>660</v>
      </c>
      <c r="U242">
        <f t="shared" si="3"/>
        <v>1</v>
      </c>
    </row>
    <row r="243" spans="1:22" hidden="1" x14ac:dyDescent="0.35">
      <c r="A243" t="s">
        <v>853</v>
      </c>
      <c r="B243" t="s">
        <v>9</v>
      </c>
      <c r="C243" t="s">
        <v>39</v>
      </c>
      <c r="D243" t="s">
        <v>39</v>
      </c>
      <c r="E243" t="s">
        <v>129</v>
      </c>
      <c r="F243">
        <v>32</v>
      </c>
      <c r="G243" t="s">
        <v>854</v>
      </c>
      <c r="I243">
        <v>-8.0347117036581039E-3</v>
      </c>
      <c r="K243">
        <v>0</v>
      </c>
      <c r="N243" t="s">
        <v>149</v>
      </c>
      <c r="O243">
        <v>1</v>
      </c>
      <c r="P243">
        <v>0</v>
      </c>
      <c r="S243" t="s">
        <v>855</v>
      </c>
      <c r="U243">
        <f t="shared" si="3"/>
        <v>1</v>
      </c>
    </row>
    <row r="244" spans="1:22" hidden="1" x14ac:dyDescent="0.35">
      <c r="A244" t="s">
        <v>670</v>
      </c>
      <c r="B244" t="s">
        <v>222</v>
      </c>
      <c r="C244" t="s">
        <v>33</v>
      </c>
      <c r="D244" t="s">
        <v>39</v>
      </c>
      <c r="E244" t="s">
        <v>184</v>
      </c>
      <c r="F244">
        <v>39</v>
      </c>
      <c r="G244" t="s">
        <v>671</v>
      </c>
      <c r="H244">
        <v>-0.20421674847602844</v>
      </c>
      <c r="I244">
        <v>-1.0027619078755379E-2</v>
      </c>
      <c r="K244">
        <v>0</v>
      </c>
      <c r="S244" t="s">
        <v>672</v>
      </c>
      <c r="U244">
        <f t="shared" si="3"/>
        <v>1</v>
      </c>
    </row>
    <row r="245" spans="1:22" hidden="1" x14ac:dyDescent="0.35">
      <c r="A245" t="s">
        <v>755</v>
      </c>
      <c r="B245" t="s">
        <v>441</v>
      </c>
      <c r="C245" t="s">
        <v>39</v>
      </c>
      <c r="D245" t="s">
        <v>39</v>
      </c>
      <c r="E245" t="s">
        <v>104</v>
      </c>
      <c r="F245">
        <v>28</v>
      </c>
      <c r="G245" t="s">
        <v>756</v>
      </c>
      <c r="H245">
        <v>-0.62717419862747192</v>
      </c>
      <c r="I245">
        <v>6.7367814481258392E-2</v>
      </c>
      <c r="K245">
        <v>0</v>
      </c>
      <c r="N245" t="s">
        <v>36</v>
      </c>
      <c r="O245">
        <v>1</v>
      </c>
      <c r="P245">
        <v>1350000</v>
      </c>
      <c r="Q245">
        <v>1350000</v>
      </c>
      <c r="S245" t="s">
        <v>757</v>
      </c>
      <c r="U245">
        <f t="shared" si="3"/>
        <v>0</v>
      </c>
    </row>
    <row r="246" spans="1:22" hidden="1" x14ac:dyDescent="0.35">
      <c r="A246" t="s">
        <v>567</v>
      </c>
      <c r="B246" t="s">
        <v>10</v>
      </c>
      <c r="C246" t="s">
        <v>39</v>
      </c>
      <c r="D246" t="s">
        <v>39</v>
      </c>
      <c r="E246" t="s">
        <v>254</v>
      </c>
      <c r="F246">
        <v>30</v>
      </c>
      <c r="G246" t="s">
        <v>568</v>
      </c>
      <c r="H246">
        <v>2.9219444841146469E-2</v>
      </c>
      <c r="I246">
        <v>-1.1651841923594475E-2</v>
      </c>
      <c r="K246">
        <v>0</v>
      </c>
      <c r="N246" t="s">
        <v>62</v>
      </c>
      <c r="O246">
        <v>1</v>
      </c>
      <c r="P246">
        <v>0</v>
      </c>
      <c r="S246" t="s">
        <v>569</v>
      </c>
      <c r="U246">
        <f t="shared" si="3"/>
        <v>1</v>
      </c>
    </row>
    <row r="247" spans="1:22" hidden="1" x14ac:dyDescent="0.35">
      <c r="A247" t="s">
        <v>648</v>
      </c>
      <c r="B247" t="s">
        <v>9</v>
      </c>
      <c r="C247" t="s">
        <v>39</v>
      </c>
      <c r="D247" t="s">
        <v>39</v>
      </c>
      <c r="E247" t="s">
        <v>58</v>
      </c>
      <c r="F247">
        <v>30</v>
      </c>
      <c r="G247" t="s">
        <v>488</v>
      </c>
      <c r="H247">
        <v>-0.17016211152076721</v>
      </c>
      <c r="I247">
        <v>-1.4380345121026039E-2</v>
      </c>
      <c r="K247">
        <v>0</v>
      </c>
      <c r="N247" t="s">
        <v>51</v>
      </c>
      <c r="O247">
        <v>1</v>
      </c>
      <c r="P247">
        <v>0</v>
      </c>
      <c r="S247" t="s">
        <v>649</v>
      </c>
      <c r="U247">
        <f t="shared" si="3"/>
        <v>1</v>
      </c>
    </row>
    <row r="248" spans="1:22" hidden="1" x14ac:dyDescent="0.35">
      <c r="A248" t="s">
        <v>758</v>
      </c>
      <c r="B248" t="s">
        <v>9</v>
      </c>
      <c r="C248" t="s">
        <v>39</v>
      </c>
      <c r="D248" t="s">
        <v>39</v>
      </c>
      <c r="E248" t="s">
        <v>58</v>
      </c>
      <c r="F248">
        <v>35</v>
      </c>
      <c r="G248" t="s">
        <v>759</v>
      </c>
      <c r="H248">
        <v>-0.66028738021850586</v>
      </c>
      <c r="I248">
        <v>-1.5519861131906509E-2</v>
      </c>
      <c r="K248">
        <v>0</v>
      </c>
      <c r="N248" t="s">
        <v>58</v>
      </c>
      <c r="O248">
        <v>1</v>
      </c>
      <c r="P248">
        <v>0</v>
      </c>
      <c r="S248" t="s">
        <v>760</v>
      </c>
      <c r="U248">
        <f t="shared" si="3"/>
        <v>1</v>
      </c>
    </row>
    <row r="249" spans="1:22" hidden="1" x14ac:dyDescent="0.35">
      <c r="A249" t="s">
        <v>564</v>
      </c>
      <c r="B249" t="s">
        <v>10</v>
      </c>
      <c r="C249" t="s">
        <v>39</v>
      </c>
      <c r="D249" t="s">
        <v>39</v>
      </c>
      <c r="E249" t="s">
        <v>97</v>
      </c>
      <c r="F249">
        <v>33</v>
      </c>
      <c r="G249" t="s">
        <v>565</v>
      </c>
      <c r="H249">
        <v>3.703434020280838E-2</v>
      </c>
      <c r="I249">
        <v>-1.5858573839068413E-2</v>
      </c>
      <c r="K249">
        <v>0</v>
      </c>
      <c r="N249" t="s">
        <v>36</v>
      </c>
      <c r="O249">
        <v>1</v>
      </c>
      <c r="P249">
        <v>0</v>
      </c>
      <c r="S249" t="s">
        <v>566</v>
      </c>
      <c r="U249">
        <f t="shared" si="3"/>
        <v>1</v>
      </c>
    </row>
    <row r="250" spans="1:22" x14ac:dyDescent="0.35">
      <c r="A250" t="s">
        <v>564</v>
      </c>
      <c r="B250" t="s">
        <v>10</v>
      </c>
      <c r="C250" t="s">
        <v>39</v>
      </c>
      <c r="D250" t="s">
        <v>39</v>
      </c>
      <c r="E250" t="s">
        <v>97</v>
      </c>
      <c r="F250">
        <v>33</v>
      </c>
      <c r="G250" t="s">
        <v>565</v>
      </c>
      <c r="H250">
        <v>3.703434020280838E-2</v>
      </c>
      <c r="I250">
        <v>-1.5858573839068413E-2</v>
      </c>
      <c r="K250">
        <v>0</v>
      </c>
      <c r="N250" t="s">
        <v>86</v>
      </c>
      <c r="O250">
        <v>1</v>
      </c>
      <c r="P250">
        <v>272849</v>
      </c>
      <c r="Q250">
        <v>272849</v>
      </c>
      <c r="S250" t="s">
        <v>566</v>
      </c>
      <c r="U250">
        <f t="shared" si="3"/>
        <v>0</v>
      </c>
      <c r="V250">
        <v>0</v>
      </c>
    </row>
    <row r="251" spans="1:22" hidden="1" x14ac:dyDescent="0.35">
      <c r="A251" t="s">
        <v>750</v>
      </c>
      <c r="B251" t="s">
        <v>65</v>
      </c>
      <c r="C251" t="s">
        <v>45</v>
      </c>
      <c r="D251" t="s">
        <v>33</v>
      </c>
      <c r="E251" t="s">
        <v>81</v>
      </c>
      <c r="F251">
        <v>35</v>
      </c>
      <c r="G251" t="s">
        <v>751</v>
      </c>
      <c r="H251">
        <v>-0.54083758592605591</v>
      </c>
      <c r="I251">
        <v>-1.6573427245020866E-2</v>
      </c>
      <c r="K251">
        <v>0</v>
      </c>
      <c r="S251" t="s">
        <v>752</v>
      </c>
      <c r="U251">
        <f t="shared" si="3"/>
        <v>1</v>
      </c>
    </row>
    <row r="252" spans="1:22" hidden="1" x14ac:dyDescent="0.35">
      <c r="A252" t="s">
        <v>536</v>
      </c>
      <c r="B252" t="s">
        <v>9</v>
      </c>
      <c r="C252" t="s">
        <v>39</v>
      </c>
      <c r="D252" t="s">
        <v>39</v>
      </c>
      <c r="E252" t="s">
        <v>100</v>
      </c>
      <c r="F252">
        <v>32</v>
      </c>
      <c r="G252" t="s">
        <v>448</v>
      </c>
      <c r="H252">
        <v>0.11894413828849792</v>
      </c>
      <c r="I252">
        <v>-1.6770601272583008E-2</v>
      </c>
      <c r="K252">
        <v>0</v>
      </c>
      <c r="N252" t="s">
        <v>104</v>
      </c>
      <c r="O252">
        <v>1</v>
      </c>
      <c r="P252">
        <v>0</v>
      </c>
      <c r="S252" t="s">
        <v>537</v>
      </c>
      <c r="U252">
        <f t="shared" si="3"/>
        <v>1</v>
      </c>
    </row>
    <row r="253" spans="1:22" hidden="1" x14ac:dyDescent="0.35">
      <c r="A253" t="s">
        <v>779</v>
      </c>
      <c r="B253" t="s">
        <v>0</v>
      </c>
      <c r="C253" t="s">
        <v>39</v>
      </c>
      <c r="D253" t="s">
        <v>39</v>
      </c>
      <c r="E253" t="s">
        <v>70</v>
      </c>
      <c r="F253">
        <v>30</v>
      </c>
      <c r="G253" t="s">
        <v>780</v>
      </c>
      <c r="H253">
        <v>-0.84659028053283691</v>
      </c>
      <c r="I253">
        <v>0.79930925369262695</v>
      </c>
      <c r="K253">
        <v>0</v>
      </c>
      <c r="N253" t="s">
        <v>100</v>
      </c>
      <c r="O253">
        <v>1</v>
      </c>
      <c r="P253">
        <v>1000000</v>
      </c>
      <c r="Q253">
        <v>1000000</v>
      </c>
      <c r="S253" t="s">
        <v>781</v>
      </c>
      <c r="U253">
        <f t="shared" si="3"/>
        <v>0</v>
      </c>
    </row>
    <row r="254" spans="1:22" hidden="1" x14ac:dyDescent="0.35">
      <c r="A254" t="s">
        <v>716</v>
      </c>
      <c r="B254" t="s">
        <v>222</v>
      </c>
      <c r="C254" t="s">
        <v>39</v>
      </c>
      <c r="D254" t="s">
        <v>39</v>
      </c>
      <c r="E254" t="s">
        <v>53</v>
      </c>
      <c r="F254">
        <v>34</v>
      </c>
      <c r="G254" t="s">
        <v>497</v>
      </c>
      <c r="H254">
        <v>-0.36185488104820251</v>
      </c>
      <c r="I254">
        <v>-1.9635753706097603E-2</v>
      </c>
      <c r="K254">
        <v>0</v>
      </c>
      <c r="N254" t="s">
        <v>48</v>
      </c>
      <c r="O254">
        <v>1</v>
      </c>
      <c r="P254">
        <v>0</v>
      </c>
      <c r="S254" t="s">
        <v>717</v>
      </c>
      <c r="U254">
        <f t="shared" si="3"/>
        <v>1</v>
      </c>
    </row>
    <row r="255" spans="1:22" hidden="1" x14ac:dyDescent="0.35">
      <c r="A255" t="s">
        <v>350</v>
      </c>
      <c r="B255" t="s">
        <v>9</v>
      </c>
      <c r="C255" t="s">
        <v>33</v>
      </c>
      <c r="D255" t="s">
        <v>39</v>
      </c>
      <c r="E255" t="s">
        <v>70</v>
      </c>
      <c r="F255">
        <v>34</v>
      </c>
      <c r="G255" t="s">
        <v>351</v>
      </c>
      <c r="H255">
        <v>0.54068529605865479</v>
      </c>
      <c r="I255">
        <v>-2.3897647857666016E-2</v>
      </c>
      <c r="K255">
        <v>0</v>
      </c>
      <c r="N255" t="s">
        <v>48</v>
      </c>
      <c r="O255">
        <v>1</v>
      </c>
      <c r="P255">
        <v>0</v>
      </c>
      <c r="S255" t="s">
        <v>352</v>
      </c>
      <c r="U255">
        <f t="shared" si="3"/>
        <v>1</v>
      </c>
    </row>
    <row r="256" spans="1:22" x14ac:dyDescent="0.35">
      <c r="A256" t="s">
        <v>645</v>
      </c>
      <c r="B256" t="s">
        <v>9</v>
      </c>
      <c r="C256" t="s">
        <v>39</v>
      </c>
      <c r="D256" t="s">
        <v>39</v>
      </c>
      <c r="E256" t="s">
        <v>78</v>
      </c>
      <c r="F256">
        <v>34</v>
      </c>
      <c r="G256" t="s">
        <v>646</v>
      </c>
      <c r="H256">
        <v>-0.15655456483364105</v>
      </c>
      <c r="I256">
        <v>-3.5461083054542542E-2</v>
      </c>
      <c r="K256">
        <v>0</v>
      </c>
      <c r="N256" t="s">
        <v>58</v>
      </c>
      <c r="O256">
        <v>1</v>
      </c>
      <c r="P256">
        <v>1000000</v>
      </c>
      <c r="Q256">
        <v>1000000</v>
      </c>
      <c r="S256" t="s">
        <v>647</v>
      </c>
      <c r="U256">
        <f t="shared" si="3"/>
        <v>0</v>
      </c>
      <c r="V256">
        <v>0</v>
      </c>
    </row>
    <row r="257" spans="1:22" x14ac:dyDescent="0.35">
      <c r="A257" t="s">
        <v>713</v>
      </c>
      <c r="B257" t="s">
        <v>9</v>
      </c>
      <c r="C257" t="s">
        <v>39</v>
      </c>
      <c r="D257" t="s">
        <v>39</v>
      </c>
      <c r="E257" t="s">
        <v>53</v>
      </c>
      <c r="F257">
        <v>31</v>
      </c>
      <c r="G257" t="s">
        <v>714</v>
      </c>
      <c r="H257">
        <v>-0.32336261868476868</v>
      </c>
      <c r="I257">
        <v>-3.6340493708848953E-2</v>
      </c>
      <c r="K257">
        <v>0</v>
      </c>
      <c r="N257" t="s">
        <v>141</v>
      </c>
      <c r="O257">
        <v>1</v>
      </c>
      <c r="P257">
        <v>3000000</v>
      </c>
      <c r="Q257">
        <v>3000000</v>
      </c>
      <c r="S257" t="s">
        <v>715</v>
      </c>
      <c r="U257">
        <f t="shared" si="3"/>
        <v>0</v>
      </c>
      <c r="V257">
        <v>0</v>
      </c>
    </row>
    <row r="258" spans="1:22" x14ac:dyDescent="0.35">
      <c r="A258" t="s">
        <v>437</v>
      </c>
      <c r="B258" t="s">
        <v>9</v>
      </c>
      <c r="C258" t="s">
        <v>33</v>
      </c>
      <c r="D258" t="s">
        <v>33</v>
      </c>
      <c r="E258" t="s">
        <v>129</v>
      </c>
      <c r="F258">
        <v>36</v>
      </c>
      <c r="G258" t="s">
        <v>438</v>
      </c>
      <c r="H258">
        <v>0.34089964628219604</v>
      </c>
      <c r="I258">
        <v>-4.8910930752754211E-2</v>
      </c>
      <c r="K258">
        <v>0</v>
      </c>
      <c r="N258" t="s">
        <v>129</v>
      </c>
      <c r="O258">
        <v>1</v>
      </c>
      <c r="P258">
        <v>1800000</v>
      </c>
      <c r="Q258">
        <v>1800000</v>
      </c>
      <c r="S258" t="s">
        <v>439</v>
      </c>
      <c r="U258">
        <f t="shared" si="3"/>
        <v>0</v>
      </c>
      <c r="V258">
        <v>0</v>
      </c>
    </row>
    <row r="259" spans="1:22" hidden="1" x14ac:dyDescent="0.35">
      <c r="A259" t="s">
        <v>679</v>
      </c>
      <c r="B259" t="s">
        <v>9</v>
      </c>
      <c r="C259" t="s">
        <v>39</v>
      </c>
      <c r="D259" t="s">
        <v>39</v>
      </c>
      <c r="E259" t="s">
        <v>81</v>
      </c>
      <c r="F259">
        <v>34</v>
      </c>
      <c r="G259" t="s">
        <v>680</v>
      </c>
      <c r="H259">
        <v>-0.2244325578212738</v>
      </c>
      <c r="I259">
        <v>-5.2230391651391983E-2</v>
      </c>
      <c r="K259">
        <v>0</v>
      </c>
      <c r="N259" t="s">
        <v>184</v>
      </c>
      <c r="O259">
        <v>1</v>
      </c>
      <c r="P259">
        <v>0</v>
      </c>
      <c r="S259" t="s">
        <v>681</v>
      </c>
      <c r="U259">
        <f t="shared" ref="U259:U283" si="4">IF((L259="")*(Q259=""), 1, 0)</f>
        <v>1</v>
      </c>
    </row>
    <row r="260" spans="1:22" x14ac:dyDescent="0.35">
      <c r="A260" t="s">
        <v>710</v>
      </c>
      <c r="B260" t="s">
        <v>9</v>
      </c>
      <c r="C260" t="s">
        <v>33</v>
      </c>
      <c r="D260" t="s">
        <v>33</v>
      </c>
      <c r="E260" t="s">
        <v>110</v>
      </c>
      <c r="F260">
        <v>31</v>
      </c>
      <c r="G260" t="s">
        <v>711</v>
      </c>
      <c r="H260">
        <v>-0.31853827834129333</v>
      </c>
      <c r="I260">
        <v>-5.3655251860618591E-2</v>
      </c>
      <c r="K260">
        <v>0</v>
      </c>
      <c r="N260" t="s">
        <v>141</v>
      </c>
      <c r="O260">
        <v>1</v>
      </c>
      <c r="P260">
        <v>293548</v>
      </c>
      <c r="Q260">
        <v>293548</v>
      </c>
      <c r="S260" t="s">
        <v>712</v>
      </c>
      <c r="U260">
        <f t="shared" si="4"/>
        <v>0</v>
      </c>
      <c r="V260">
        <v>0</v>
      </c>
    </row>
    <row r="261" spans="1:22" hidden="1" x14ac:dyDescent="0.35">
      <c r="A261" t="s">
        <v>803</v>
      </c>
      <c r="B261" t="s">
        <v>804</v>
      </c>
      <c r="C261" t="s">
        <v>39</v>
      </c>
      <c r="D261" t="s">
        <v>39</v>
      </c>
      <c r="E261" t="s">
        <v>358</v>
      </c>
      <c r="F261">
        <v>32</v>
      </c>
      <c r="G261" t="s">
        <v>198</v>
      </c>
      <c r="H261">
        <v>-1.4060124158859253</v>
      </c>
      <c r="I261">
        <v>0.27304002642631531</v>
      </c>
      <c r="K261">
        <v>0</v>
      </c>
      <c r="N261" t="s">
        <v>62</v>
      </c>
      <c r="O261">
        <v>1</v>
      </c>
      <c r="P261">
        <v>430108</v>
      </c>
      <c r="Q261">
        <v>430108</v>
      </c>
      <c r="S261" t="s">
        <v>805</v>
      </c>
      <c r="U261">
        <f t="shared" si="4"/>
        <v>0</v>
      </c>
    </row>
    <row r="262" spans="1:22" x14ac:dyDescent="0.35">
      <c r="A262" t="s">
        <v>573</v>
      </c>
      <c r="B262" t="s">
        <v>9</v>
      </c>
      <c r="C262" t="s">
        <v>39</v>
      </c>
      <c r="D262" t="s">
        <v>39</v>
      </c>
      <c r="E262" t="s">
        <v>141</v>
      </c>
      <c r="F262">
        <v>35</v>
      </c>
      <c r="G262" t="s">
        <v>574</v>
      </c>
      <c r="H262">
        <v>1.6577627509832382E-2</v>
      </c>
      <c r="I262">
        <v>-5.685318261384964E-2</v>
      </c>
      <c r="K262">
        <v>0</v>
      </c>
      <c r="N262" t="s">
        <v>86</v>
      </c>
      <c r="O262">
        <v>1</v>
      </c>
      <c r="P262">
        <v>203226</v>
      </c>
      <c r="Q262">
        <v>203226</v>
      </c>
      <c r="S262" t="s">
        <v>575</v>
      </c>
      <c r="U262">
        <f t="shared" si="4"/>
        <v>0</v>
      </c>
      <c r="V262">
        <v>0</v>
      </c>
    </row>
    <row r="263" spans="1:22" hidden="1" x14ac:dyDescent="0.35">
      <c r="A263" t="s">
        <v>809</v>
      </c>
      <c r="B263" t="s">
        <v>0</v>
      </c>
      <c r="C263" t="s">
        <v>39</v>
      </c>
      <c r="D263" t="s">
        <v>39</v>
      </c>
      <c r="E263" t="s">
        <v>51</v>
      </c>
      <c r="F263">
        <v>38</v>
      </c>
      <c r="G263" t="s">
        <v>335</v>
      </c>
      <c r="H263">
        <v>-1.5213663578033447</v>
      </c>
      <c r="I263">
        <v>-3.5216251853853464E-4</v>
      </c>
      <c r="K263">
        <v>0</v>
      </c>
      <c r="S263" t="s">
        <v>810</v>
      </c>
      <c r="U263">
        <f t="shared" si="4"/>
        <v>1</v>
      </c>
    </row>
    <row r="264" spans="1:22" hidden="1" x14ac:dyDescent="0.35">
      <c r="A264" t="s">
        <v>736</v>
      </c>
      <c r="B264" t="s">
        <v>9</v>
      </c>
      <c r="C264" t="s">
        <v>39</v>
      </c>
      <c r="D264" t="s">
        <v>39</v>
      </c>
      <c r="E264" t="s">
        <v>184</v>
      </c>
      <c r="F264">
        <v>33</v>
      </c>
      <c r="G264" t="s">
        <v>737</v>
      </c>
      <c r="H264">
        <v>-0.46567809581756592</v>
      </c>
      <c r="I264">
        <v>-6.3961677253246307E-2</v>
      </c>
      <c r="K264">
        <v>0</v>
      </c>
      <c r="N264" t="s">
        <v>66</v>
      </c>
      <c r="O264">
        <v>1</v>
      </c>
      <c r="P264">
        <v>0</v>
      </c>
      <c r="S264" t="s">
        <v>738</v>
      </c>
      <c r="U264">
        <f t="shared" si="4"/>
        <v>1</v>
      </c>
    </row>
    <row r="265" spans="1:22" hidden="1" x14ac:dyDescent="0.35">
      <c r="A265" t="s">
        <v>814</v>
      </c>
      <c r="B265" t="s">
        <v>815</v>
      </c>
      <c r="C265" t="s">
        <v>39</v>
      </c>
      <c r="D265" t="s">
        <v>39</v>
      </c>
      <c r="E265" t="s">
        <v>62</v>
      </c>
      <c r="F265">
        <v>32</v>
      </c>
      <c r="G265" t="s">
        <v>816</v>
      </c>
      <c r="H265">
        <v>-2.0528233051300049</v>
      </c>
      <c r="I265">
        <v>0.11920168995857239</v>
      </c>
      <c r="K265">
        <v>0</v>
      </c>
      <c r="S265" t="s">
        <v>817</v>
      </c>
      <c r="U265">
        <f t="shared" si="4"/>
        <v>1</v>
      </c>
    </row>
    <row r="266" spans="1:22" x14ac:dyDescent="0.35">
      <c r="A266" t="s">
        <v>547</v>
      </c>
      <c r="B266" t="s">
        <v>364</v>
      </c>
      <c r="C266" t="s">
        <v>33</v>
      </c>
      <c r="D266" t="s">
        <v>33</v>
      </c>
      <c r="E266" t="s">
        <v>40</v>
      </c>
      <c r="F266">
        <v>29</v>
      </c>
      <c r="G266" t="s">
        <v>548</v>
      </c>
      <c r="H266">
        <v>8.5836321115493774E-2</v>
      </c>
      <c r="I266">
        <v>-6.4834251999855042E-2</v>
      </c>
      <c r="K266">
        <v>0</v>
      </c>
      <c r="N266" t="s">
        <v>40</v>
      </c>
      <c r="O266">
        <v>1</v>
      </c>
      <c r="P266">
        <v>1400000</v>
      </c>
      <c r="Q266">
        <v>1400000</v>
      </c>
      <c r="S266" t="s">
        <v>549</v>
      </c>
      <c r="U266">
        <f t="shared" si="4"/>
        <v>0</v>
      </c>
      <c r="V266">
        <v>0</v>
      </c>
    </row>
    <row r="267" spans="1:22" hidden="1" x14ac:dyDescent="0.35">
      <c r="A267" t="s">
        <v>570</v>
      </c>
      <c r="B267" t="s">
        <v>9</v>
      </c>
      <c r="C267" t="s">
        <v>39</v>
      </c>
      <c r="D267" t="s">
        <v>39</v>
      </c>
      <c r="E267" t="s">
        <v>100</v>
      </c>
      <c r="F267">
        <v>31</v>
      </c>
      <c r="G267" t="s">
        <v>571</v>
      </c>
      <c r="H267">
        <v>2.6058074086904526E-2</v>
      </c>
      <c r="I267">
        <v>-6.7104816436767578E-2</v>
      </c>
      <c r="K267">
        <v>0</v>
      </c>
      <c r="N267" t="s">
        <v>254</v>
      </c>
      <c r="O267">
        <v>1</v>
      </c>
      <c r="P267">
        <v>0</v>
      </c>
      <c r="S267" t="s">
        <v>572</v>
      </c>
      <c r="U267">
        <f t="shared" si="4"/>
        <v>1</v>
      </c>
    </row>
    <row r="268" spans="1:22" x14ac:dyDescent="0.35">
      <c r="A268" t="s">
        <v>505</v>
      </c>
      <c r="B268" t="s">
        <v>9</v>
      </c>
      <c r="C268" t="s">
        <v>33</v>
      </c>
      <c r="D268" t="s">
        <v>33</v>
      </c>
      <c r="E268" t="s">
        <v>70</v>
      </c>
      <c r="F268">
        <v>35</v>
      </c>
      <c r="G268" t="s">
        <v>506</v>
      </c>
      <c r="H268">
        <v>0.17696629464626312</v>
      </c>
      <c r="I268">
        <v>-6.8559452891349792E-2</v>
      </c>
      <c r="K268">
        <v>0</v>
      </c>
      <c r="N268" t="s">
        <v>70</v>
      </c>
      <c r="O268">
        <v>1</v>
      </c>
      <c r="P268">
        <v>2500000</v>
      </c>
      <c r="Q268">
        <v>2500000</v>
      </c>
      <c r="S268" t="s">
        <v>507</v>
      </c>
      <c r="U268">
        <f t="shared" si="4"/>
        <v>0</v>
      </c>
      <c r="V268">
        <v>0</v>
      </c>
    </row>
    <row r="269" spans="1:22" hidden="1" x14ac:dyDescent="0.35">
      <c r="A269" t="s">
        <v>487</v>
      </c>
      <c r="B269" t="s">
        <v>9</v>
      </c>
      <c r="C269" t="s">
        <v>39</v>
      </c>
      <c r="D269" t="s">
        <v>39</v>
      </c>
      <c r="E269" t="s">
        <v>62</v>
      </c>
      <c r="F269">
        <v>36</v>
      </c>
      <c r="G269" t="s">
        <v>488</v>
      </c>
      <c r="H269">
        <v>0.21299046277999878</v>
      </c>
      <c r="I269">
        <v>-7.0607110857963562E-2</v>
      </c>
      <c r="K269">
        <v>0</v>
      </c>
      <c r="N269" t="s">
        <v>97</v>
      </c>
      <c r="O269">
        <v>1</v>
      </c>
      <c r="P269">
        <v>0</v>
      </c>
      <c r="S269" t="s">
        <v>489</v>
      </c>
      <c r="U269">
        <f t="shared" si="4"/>
        <v>1</v>
      </c>
    </row>
    <row r="270" spans="1:22" x14ac:dyDescent="0.35">
      <c r="A270" t="s">
        <v>579</v>
      </c>
      <c r="B270" t="s">
        <v>9</v>
      </c>
      <c r="C270" t="s">
        <v>39</v>
      </c>
      <c r="D270" t="s">
        <v>33</v>
      </c>
      <c r="E270" t="s">
        <v>86</v>
      </c>
      <c r="F270">
        <v>33</v>
      </c>
      <c r="G270" t="s">
        <v>580</v>
      </c>
      <c r="H270">
        <v>1.5761226415634155E-2</v>
      </c>
      <c r="I270">
        <v>-7.075171172618866E-2</v>
      </c>
      <c r="K270">
        <v>0</v>
      </c>
      <c r="N270" t="s">
        <v>34</v>
      </c>
      <c r="O270">
        <v>1</v>
      </c>
      <c r="P270">
        <v>2000000</v>
      </c>
      <c r="Q270">
        <v>2000000</v>
      </c>
      <c r="S270" t="s">
        <v>581</v>
      </c>
      <c r="U270">
        <f t="shared" si="4"/>
        <v>0</v>
      </c>
      <c r="V270">
        <v>0</v>
      </c>
    </row>
    <row r="271" spans="1:22" x14ac:dyDescent="0.35">
      <c r="A271" t="s">
        <v>718</v>
      </c>
      <c r="B271" t="s">
        <v>9</v>
      </c>
      <c r="C271" t="s">
        <v>39</v>
      </c>
      <c r="D271" t="s">
        <v>33</v>
      </c>
      <c r="E271" t="s">
        <v>81</v>
      </c>
      <c r="F271">
        <v>35</v>
      </c>
      <c r="G271" t="s">
        <v>719</v>
      </c>
      <c r="H271">
        <v>-0.37899422645568848</v>
      </c>
      <c r="I271">
        <v>-8.3277687430381775E-2</v>
      </c>
      <c r="J271">
        <v>1</v>
      </c>
      <c r="K271">
        <v>3000000</v>
      </c>
      <c r="L271">
        <v>3000000</v>
      </c>
      <c r="S271" t="s">
        <v>720</v>
      </c>
      <c r="U271">
        <f t="shared" si="4"/>
        <v>0</v>
      </c>
      <c r="V271">
        <v>0</v>
      </c>
    </row>
    <row r="272" spans="1:22" x14ac:dyDescent="0.35">
      <c r="A272" t="s">
        <v>390</v>
      </c>
      <c r="B272" t="s">
        <v>9</v>
      </c>
      <c r="C272" t="s">
        <v>39</v>
      </c>
      <c r="D272" t="s">
        <v>33</v>
      </c>
      <c r="E272" t="s">
        <v>34</v>
      </c>
      <c r="F272">
        <v>35</v>
      </c>
      <c r="G272" t="s">
        <v>391</v>
      </c>
      <c r="H272">
        <v>0.47385257482528687</v>
      </c>
      <c r="I272">
        <v>-8.4898293018341064E-2</v>
      </c>
      <c r="K272">
        <v>0</v>
      </c>
      <c r="N272" t="s">
        <v>34</v>
      </c>
      <c r="O272">
        <v>1</v>
      </c>
      <c r="P272">
        <v>2850000</v>
      </c>
      <c r="Q272">
        <v>2850000</v>
      </c>
      <c r="S272" t="s">
        <v>392</v>
      </c>
      <c r="U272">
        <f t="shared" si="4"/>
        <v>0</v>
      </c>
      <c r="V272">
        <v>0</v>
      </c>
    </row>
    <row r="273" spans="1:22" x14ac:dyDescent="0.35">
      <c r="A273" t="s">
        <v>343</v>
      </c>
      <c r="B273" t="s">
        <v>9</v>
      </c>
      <c r="C273" t="s">
        <v>33</v>
      </c>
      <c r="D273" t="s">
        <v>39</v>
      </c>
      <c r="E273" t="s">
        <v>58</v>
      </c>
      <c r="F273">
        <v>34</v>
      </c>
      <c r="G273" t="s">
        <v>344</v>
      </c>
      <c r="H273">
        <v>0.59863913059234619</v>
      </c>
      <c r="I273">
        <v>-9.0379327535629272E-2</v>
      </c>
      <c r="J273">
        <v>1</v>
      </c>
      <c r="K273">
        <v>3000000</v>
      </c>
      <c r="L273">
        <v>3000000</v>
      </c>
      <c r="N273" t="s">
        <v>129</v>
      </c>
      <c r="O273">
        <v>1</v>
      </c>
      <c r="P273">
        <v>0</v>
      </c>
      <c r="S273" t="s">
        <v>345</v>
      </c>
      <c r="U273">
        <f t="shared" si="4"/>
        <v>0</v>
      </c>
      <c r="V273">
        <v>0</v>
      </c>
    </row>
    <row r="274" spans="1:22" hidden="1" x14ac:dyDescent="0.35">
      <c r="A274" t="s">
        <v>653</v>
      </c>
      <c r="B274" t="s">
        <v>9</v>
      </c>
      <c r="C274" t="s">
        <v>33</v>
      </c>
      <c r="D274" t="s">
        <v>33</v>
      </c>
      <c r="E274" t="s">
        <v>48</v>
      </c>
      <c r="F274">
        <v>34</v>
      </c>
      <c r="G274" t="s">
        <v>331</v>
      </c>
      <c r="H274">
        <v>-0.1851990669965744</v>
      </c>
      <c r="I274">
        <v>-0.11765696108341217</v>
      </c>
      <c r="K274">
        <v>0</v>
      </c>
      <c r="N274" t="s">
        <v>34</v>
      </c>
      <c r="O274">
        <v>1</v>
      </c>
      <c r="P274">
        <v>0</v>
      </c>
      <c r="S274" t="s">
        <v>654</v>
      </c>
      <c r="U274">
        <f t="shared" si="4"/>
        <v>1</v>
      </c>
    </row>
    <row r="275" spans="1:22" hidden="1" x14ac:dyDescent="0.35">
      <c r="A275" t="s">
        <v>687</v>
      </c>
      <c r="B275" t="s">
        <v>9</v>
      </c>
      <c r="C275" t="s">
        <v>39</v>
      </c>
      <c r="D275" t="s">
        <v>39</v>
      </c>
      <c r="E275" t="s">
        <v>56</v>
      </c>
      <c r="F275">
        <v>34</v>
      </c>
      <c r="G275" t="s">
        <v>631</v>
      </c>
      <c r="H275">
        <v>-0.23992839455604553</v>
      </c>
      <c r="I275">
        <v>-0.11842223256826401</v>
      </c>
      <c r="K275">
        <v>0</v>
      </c>
      <c r="N275" t="s">
        <v>56</v>
      </c>
      <c r="O275">
        <v>1</v>
      </c>
      <c r="P275">
        <v>0</v>
      </c>
      <c r="S275" t="s">
        <v>688</v>
      </c>
      <c r="U275">
        <f t="shared" si="4"/>
        <v>1</v>
      </c>
    </row>
    <row r="276" spans="1:22" hidden="1" x14ac:dyDescent="0.35">
      <c r="A276" t="s">
        <v>856</v>
      </c>
      <c r="B276" t="s">
        <v>9</v>
      </c>
      <c r="C276" t="s">
        <v>39</v>
      </c>
      <c r="D276" t="s">
        <v>39</v>
      </c>
      <c r="E276" t="s">
        <v>254</v>
      </c>
      <c r="F276">
        <v>40</v>
      </c>
      <c r="G276" t="s">
        <v>659</v>
      </c>
      <c r="I276">
        <v>-0.11978454887866974</v>
      </c>
      <c r="K276">
        <v>0</v>
      </c>
      <c r="S276" t="s">
        <v>857</v>
      </c>
      <c r="U276">
        <f t="shared" si="4"/>
        <v>1</v>
      </c>
    </row>
    <row r="277" spans="1:22" hidden="1" x14ac:dyDescent="0.35">
      <c r="A277" t="s">
        <v>606</v>
      </c>
      <c r="B277" t="s">
        <v>9</v>
      </c>
      <c r="C277" t="s">
        <v>39</v>
      </c>
      <c r="D277" t="s">
        <v>39</v>
      </c>
      <c r="E277" t="s">
        <v>62</v>
      </c>
      <c r="F277">
        <v>34</v>
      </c>
      <c r="G277" t="s">
        <v>607</v>
      </c>
      <c r="H277">
        <v>-6.1061490327119827E-2</v>
      </c>
      <c r="I277">
        <v>-0.12418172508478165</v>
      </c>
      <c r="K277">
        <v>0</v>
      </c>
      <c r="S277" t="s">
        <v>608</v>
      </c>
      <c r="U277">
        <f t="shared" si="4"/>
        <v>1</v>
      </c>
    </row>
    <row r="278" spans="1:22" x14ac:dyDescent="0.35">
      <c r="A278" t="s">
        <v>664</v>
      </c>
      <c r="B278" t="s">
        <v>9</v>
      </c>
      <c r="C278" t="s">
        <v>39</v>
      </c>
      <c r="D278" t="s">
        <v>39</v>
      </c>
      <c r="E278" t="s">
        <v>141</v>
      </c>
      <c r="F278">
        <v>32</v>
      </c>
      <c r="G278" t="s">
        <v>665</v>
      </c>
      <c r="H278">
        <v>-0.19863010942935944</v>
      </c>
      <c r="I278">
        <v>-0.14936259388923645</v>
      </c>
      <c r="K278">
        <v>0</v>
      </c>
      <c r="N278" t="s">
        <v>125</v>
      </c>
      <c r="O278">
        <v>1</v>
      </c>
      <c r="P278">
        <v>237634</v>
      </c>
      <c r="Q278">
        <v>237634</v>
      </c>
      <c r="S278" t="s">
        <v>666</v>
      </c>
      <c r="U278">
        <f t="shared" si="4"/>
        <v>0</v>
      </c>
      <c r="V278">
        <v>0</v>
      </c>
    </row>
    <row r="279" spans="1:22" x14ac:dyDescent="0.35">
      <c r="A279" t="s">
        <v>806</v>
      </c>
      <c r="B279" t="s">
        <v>3</v>
      </c>
      <c r="C279" t="s">
        <v>39</v>
      </c>
      <c r="D279" t="s">
        <v>39</v>
      </c>
      <c r="E279" t="s">
        <v>151</v>
      </c>
      <c r="F279">
        <v>38</v>
      </c>
      <c r="G279" t="s">
        <v>807</v>
      </c>
      <c r="H279">
        <v>-1.5055429935455322</v>
      </c>
      <c r="I279">
        <v>-0.2448185533285141</v>
      </c>
      <c r="K279">
        <v>0</v>
      </c>
      <c r="N279" t="s">
        <v>46</v>
      </c>
      <c r="O279">
        <v>1</v>
      </c>
      <c r="P279">
        <v>1000000</v>
      </c>
      <c r="Q279">
        <v>1000000</v>
      </c>
      <c r="S279" t="s">
        <v>808</v>
      </c>
      <c r="U279">
        <f t="shared" si="4"/>
        <v>0</v>
      </c>
      <c r="V279">
        <v>1</v>
      </c>
    </row>
    <row r="280" spans="1:22" hidden="1" x14ac:dyDescent="0.35">
      <c r="B280" t="s">
        <v>120</v>
      </c>
      <c r="E280" t="s">
        <v>825</v>
      </c>
      <c r="K280">
        <v>0</v>
      </c>
      <c r="S280" t="s">
        <v>858</v>
      </c>
      <c r="U280">
        <f t="shared" si="4"/>
        <v>1</v>
      </c>
    </row>
    <row r="281" spans="1:22" hidden="1" x14ac:dyDescent="0.35">
      <c r="B281" t="s">
        <v>10</v>
      </c>
      <c r="E281" t="s">
        <v>859</v>
      </c>
      <c r="K281">
        <v>0</v>
      </c>
      <c r="S281" t="s">
        <v>860</v>
      </c>
      <c r="U281">
        <f t="shared" si="4"/>
        <v>1</v>
      </c>
    </row>
    <row r="282" spans="1:22" hidden="1" x14ac:dyDescent="0.35">
      <c r="B282" t="s">
        <v>10</v>
      </c>
      <c r="E282" t="s">
        <v>859</v>
      </c>
      <c r="K282">
        <v>0</v>
      </c>
      <c r="S282" t="s">
        <v>861</v>
      </c>
      <c r="U282">
        <f t="shared" si="4"/>
        <v>1</v>
      </c>
    </row>
    <row r="283" spans="1:22" hidden="1" x14ac:dyDescent="0.35">
      <c r="B283" t="s">
        <v>10</v>
      </c>
      <c r="E283" t="s">
        <v>859</v>
      </c>
      <c r="K283">
        <v>0</v>
      </c>
      <c r="S283" t="s">
        <v>862</v>
      </c>
      <c r="U283">
        <f t="shared" si="4"/>
        <v>1</v>
      </c>
    </row>
  </sheetData>
  <autoFilter ref="A1:U283" xr:uid="{BDB0D569-61A8-424D-A6B8-1B37CAF13510}">
    <filterColumn colId="1">
      <filters>
        <filter val="1B/DH"/>
        <filter val="1B/RF/LF"/>
        <filter val="2B/3B/LF/RF"/>
        <filter val="2B/3B/SS/OF"/>
        <filter val="2B/3B/SS/RF"/>
        <filter val="2B/RF/LF"/>
        <filter val="3B/1B/DH"/>
        <filter val="3B/2B/SS/OF"/>
        <filter val="C"/>
        <filter val="C/DH"/>
        <filter val="CF/LF/RF"/>
        <filter val="DH"/>
        <filter val="DH/LF/RF"/>
        <filter val="DH/RF/LF"/>
        <filter val="LF/RF"/>
        <filter val="LF/RF/1B"/>
        <filter val="LF/RF/CF"/>
        <filter val="LF/RF/DH"/>
        <filter val="RF/LF"/>
        <filter val="RF/LF/CF"/>
        <filter val="RP"/>
        <filter val="SP"/>
      </filters>
    </filterColumn>
    <filterColumn colId="20">
      <filters>
        <filter val="0"/>
      </filters>
    </filterColumn>
  </autoFilter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Main_HardCodedName</vt:lpstr>
      <vt:lpstr>CorbinBurnes</vt:lpstr>
      <vt:lpstr>CorbinBurnes_HardCodedNames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Parry, Nicholas</cp:lastModifiedBy>
  <dcterms:created xsi:type="dcterms:W3CDTF">2025-10-22T22:55:47Z</dcterms:created>
  <dcterms:modified xsi:type="dcterms:W3CDTF">2025-11-20T23:07:30Z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2025-10-24T21:01:42Z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4999df3e-b08a-42f1-8df1-514800566594</vt:lpwstr>
  </property>
  <property fmtid="{D5CDD505-2E9C-101B-9397-08002B2CF9AE}" pid="8" name="MSIP_Label_b1b86c14-7a6f-495c-8ad3-202986669410_ContentBits">
    <vt:lpwstr>0</vt:lpwstr>
  </property>
</Properties>
</file>